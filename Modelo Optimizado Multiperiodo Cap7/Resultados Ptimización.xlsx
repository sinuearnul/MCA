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ue\Desktop\DOCTORADO\9NO SEMESTRE\Modelo Alimentario HH Tesis\Modelo Optimizado Multiperiodo Cap7\"/>
    </mc:Choice>
  </mc:AlternateContent>
  <xr:revisionPtr revIDLastSave="0" documentId="13_ncr:1_{7DFD2DFC-408E-458F-A52C-48A19AC3265D}" xr6:coauthVersionLast="47" xr6:coauthVersionMax="47" xr10:uidLastSave="{00000000-0000-0000-0000-000000000000}"/>
  <bookViews>
    <workbookView xWindow="-110" yWindow="-110" windowWidth="19420" windowHeight="11500" activeTab="1" xr2:uid="{8A77C572-4DD9-4958-9D20-D4854B1A1922}"/>
  </bookViews>
  <sheets>
    <sheet name="Opt Monoperiodo" sheetId="1" r:id="rId1"/>
    <sheet name="Opt Multiperio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" i="2" l="1"/>
  <c r="AO7" i="2"/>
  <c r="AP7" i="2"/>
  <c r="AN8" i="2"/>
  <c r="AO8" i="2"/>
  <c r="AO11" i="2"/>
  <c r="AP11" i="2"/>
  <c r="AN12" i="2"/>
  <c r="AO12" i="2"/>
  <c r="AP12" i="2"/>
  <c r="AJ4" i="2"/>
  <c r="AN4" i="2" s="1"/>
  <c r="AK4" i="2"/>
  <c r="AO4" i="2" s="1"/>
  <c r="AL4" i="2"/>
  <c r="AP4" i="2" s="1"/>
  <c r="AJ5" i="2"/>
  <c r="AN5" i="2" s="1"/>
  <c r="AK5" i="2"/>
  <c r="AO5" i="2" s="1"/>
  <c r="AL5" i="2"/>
  <c r="AP5" i="2" s="1"/>
  <c r="AJ6" i="2"/>
  <c r="AN6" i="2" s="1"/>
  <c r="AK6" i="2"/>
  <c r="AO6" i="2" s="1"/>
  <c r="AL6" i="2"/>
  <c r="AP6" i="2" s="1"/>
  <c r="AJ7" i="2"/>
  <c r="AK7" i="2"/>
  <c r="AL7" i="2"/>
  <c r="AJ8" i="2"/>
  <c r="AK8" i="2"/>
  <c r="AL8" i="2"/>
  <c r="AP8" i="2" s="1"/>
  <c r="AJ9" i="2"/>
  <c r="AN9" i="2" s="1"/>
  <c r="AK9" i="2"/>
  <c r="AO9" i="2" s="1"/>
  <c r="AL9" i="2"/>
  <c r="AP9" i="2" s="1"/>
  <c r="AJ10" i="2"/>
  <c r="AN10" i="2" s="1"/>
  <c r="AK10" i="2"/>
  <c r="AO10" i="2" s="1"/>
  <c r="AL10" i="2"/>
  <c r="AP10" i="2" s="1"/>
  <c r="AJ11" i="2"/>
  <c r="AN11" i="2" s="1"/>
  <c r="AK11" i="2"/>
  <c r="AL11" i="2"/>
  <c r="AJ12" i="2"/>
  <c r="AK12" i="2"/>
  <c r="AL12" i="2"/>
  <c r="AJ13" i="2"/>
  <c r="AN13" i="2" s="1"/>
  <c r="AK13" i="2"/>
  <c r="AO13" i="2" s="1"/>
  <c r="AL13" i="2"/>
  <c r="AP13" i="2" s="1"/>
  <c r="AJ14" i="2"/>
  <c r="AN14" i="2" s="1"/>
  <c r="AK14" i="2"/>
  <c r="AO14" i="2" s="1"/>
  <c r="AL14" i="2"/>
  <c r="AP14" i="2" s="1"/>
  <c r="AJ15" i="2"/>
  <c r="AN15" i="2" s="1"/>
  <c r="AK15" i="2"/>
  <c r="AO15" i="2" s="1"/>
  <c r="AL15" i="2"/>
  <c r="AP15" i="2" s="1"/>
  <c r="AI5" i="2"/>
  <c r="AM5" i="2" s="1"/>
  <c r="AI6" i="2"/>
  <c r="AM6" i="2" s="1"/>
  <c r="AI7" i="2"/>
  <c r="AM7" i="2" s="1"/>
  <c r="AI8" i="2"/>
  <c r="AM8" i="2" s="1"/>
  <c r="AI9" i="2"/>
  <c r="AM9" i="2" s="1"/>
  <c r="AI10" i="2"/>
  <c r="AM10" i="2" s="1"/>
  <c r="AI11" i="2"/>
  <c r="AM11" i="2" s="1"/>
  <c r="AI12" i="2"/>
  <c r="AM12" i="2" s="1"/>
  <c r="AI13" i="2"/>
  <c r="AM13" i="2" s="1"/>
  <c r="AI14" i="2"/>
  <c r="AM14" i="2" s="1"/>
  <c r="AI15" i="2"/>
  <c r="AM15" i="2" s="1"/>
  <c r="AI4" i="2"/>
  <c r="AM4" i="2" s="1"/>
  <c r="V22" i="1"/>
  <c r="V23" i="1"/>
  <c r="V24" i="1"/>
  <c r="V25" i="1"/>
  <c r="V26" i="1"/>
  <c r="V27" i="1"/>
  <c r="V28" i="1"/>
  <c r="V29" i="1"/>
  <c r="V30" i="1"/>
  <c r="V31" i="1"/>
  <c r="V32" i="1"/>
  <c r="V21" i="1"/>
  <c r="U22" i="1"/>
  <c r="U23" i="1"/>
  <c r="U24" i="1"/>
  <c r="U25" i="1"/>
  <c r="U26" i="1"/>
  <c r="U27" i="1"/>
  <c r="U28" i="1"/>
  <c r="U29" i="1"/>
  <c r="U30" i="1"/>
  <c r="U31" i="1"/>
  <c r="U32" i="1"/>
  <c r="U21" i="1"/>
  <c r="Y15" i="2"/>
  <c r="Z15" i="2" s="1"/>
  <c r="Y14" i="2"/>
  <c r="Z14" i="2" s="1"/>
  <c r="Y13" i="2"/>
  <c r="Z13" i="2" s="1"/>
  <c r="N21" i="2"/>
  <c r="O21" i="2" s="1"/>
  <c r="N20" i="2"/>
  <c r="O20" i="2" s="1"/>
  <c r="N19" i="2"/>
  <c r="O19" i="2" s="1"/>
  <c r="V15" i="2"/>
  <c r="W15" i="2" s="1"/>
  <c r="V14" i="2"/>
  <c r="W14" i="2" s="1"/>
  <c r="V13" i="2"/>
  <c r="W13" i="2" s="1"/>
  <c r="Y12" i="2"/>
  <c r="Z12" i="2" s="1"/>
  <c r="V12" i="2"/>
  <c r="W12" i="2" s="1"/>
  <c r="Y11" i="2"/>
  <c r="Z11" i="2" s="1"/>
  <c r="V11" i="2"/>
  <c r="W11" i="2" s="1"/>
  <c r="Y10" i="2"/>
  <c r="Z10" i="2" s="1"/>
  <c r="V10" i="2"/>
  <c r="W10" i="2" s="1"/>
  <c r="Y9" i="2"/>
  <c r="Z9" i="2" s="1"/>
  <c r="V9" i="2"/>
  <c r="W9" i="2" s="1"/>
  <c r="Y8" i="2"/>
  <c r="Z8" i="2" s="1"/>
  <c r="V8" i="2"/>
  <c r="W8" i="2" s="1"/>
  <c r="Y7" i="2"/>
  <c r="Z7" i="2" s="1"/>
  <c r="V7" i="2"/>
  <c r="W7" i="2" s="1"/>
  <c r="Y6" i="2"/>
  <c r="Z6" i="2" s="1"/>
  <c r="V6" i="2"/>
  <c r="W6" i="2" s="1"/>
  <c r="Y5" i="2"/>
  <c r="Z5" i="2" s="1"/>
  <c r="V5" i="2"/>
  <c r="W5" i="2" s="1"/>
  <c r="Y4" i="2"/>
  <c r="Z4" i="2" s="1"/>
  <c r="V4" i="2"/>
  <c r="W4" i="2" s="1"/>
  <c r="I21" i="2"/>
  <c r="J21" i="2" s="1"/>
  <c r="I20" i="2"/>
  <c r="J20" i="2" s="1"/>
  <c r="I19" i="2"/>
  <c r="J19" i="2" s="1"/>
  <c r="N16" i="2"/>
  <c r="O16" i="2" s="1"/>
  <c r="N15" i="2"/>
  <c r="O15" i="2" s="1"/>
  <c r="N14" i="2"/>
  <c r="O14" i="2" s="1"/>
  <c r="I16" i="2"/>
  <c r="J16" i="2" s="1"/>
  <c r="I15" i="2"/>
  <c r="J15" i="2" s="1"/>
  <c r="I14" i="2"/>
  <c r="J14" i="2" s="1"/>
  <c r="N11" i="2"/>
  <c r="O11" i="2" s="1"/>
  <c r="N10" i="2"/>
  <c r="O10" i="2" s="1"/>
  <c r="N9" i="2"/>
  <c r="O9" i="2" s="1"/>
  <c r="I11" i="2"/>
  <c r="J11" i="2" s="1"/>
  <c r="I10" i="2"/>
  <c r="J10" i="2" s="1"/>
  <c r="I9" i="2"/>
  <c r="J9" i="2" s="1"/>
  <c r="N6" i="2"/>
  <c r="O6" i="2" s="1"/>
  <c r="N5" i="2"/>
  <c r="O5" i="2" s="1"/>
  <c r="N4" i="2"/>
  <c r="O4" i="2" s="1"/>
  <c r="I6" i="2"/>
  <c r="J6" i="2" s="1"/>
  <c r="I5" i="2"/>
  <c r="J5" i="2" s="1"/>
  <c r="I4" i="2"/>
  <c r="J4" i="2" s="1"/>
  <c r="Y15" i="1"/>
  <c r="Z15" i="1" s="1"/>
  <c r="V15" i="1"/>
  <c r="W15" i="1" s="1"/>
  <c r="Y14" i="1"/>
  <c r="Z14" i="1" s="1"/>
  <c r="V14" i="1"/>
  <c r="W14" i="1" s="1"/>
  <c r="Y13" i="1"/>
  <c r="Z13" i="1" s="1"/>
  <c r="V13" i="1"/>
  <c r="W13" i="1" s="1"/>
  <c r="Y12" i="1"/>
  <c r="Z12" i="1" s="1"/>
  <c r="V12" i="1"/>
  <c r="W12" i="1" s="1"/>
  <c r="Y11" i="1"/>
  <c r="Z11" i="1" s="1"/>
  <c r="V11" i="1"/>
  <c r="W11" i="1" s="1"/>
  <c r="Y10" i="1"/>
  <c r="Z10" i="1" s="1"/>
  <c r="V10" i="1"/>
  <c r="W10" i="1" s="1"/>
  <c r="Y9" i="1"/>
  <c r="Z9" i="1" s="1"/>
  <c r="V9" i="1"/>
  <c r="W9" i="1" s="1"/>
  <c r="Y8" i="1"/>
  <c r="Z8" i="1" s="1"/>
  <c r="V8" i="1"/>
  <c r="W8" i="1" s="1"/>
  <c r="Y7" i="1"/>
  <c r="Z7" i="1" s="1"/>
  <c r="V7" i="1"/>
  <c r="W7" i="1" s="1"/>
  <c r="Y6" i="1"/>
  <c r="Z6" i="1" s="1"/>
  <c r="V6" i="1"/>
  <c r="W6" i="1" s="1"/>
  <c r="Y5" i="1"/>
  <c r="Z5" i="1" s="1"/>
  <c r="V5" i="1"/>
  <c r="W5" i="1" s="1"/>
  <c r="Y4" i="1"/>
  <c r="Z4" i="1" s="1"/>
  <c r="V4" i="1"/>
  <c r="W4" i="1" s="1"/>
  <c r="N21" i="1"/>
  <c r="O21" i="1" s="1"/>
  <c r="N20" i="1"/>
  <c r="O20" i="1" s="1"/>
  <c r="N19" i="1"/>
  <c r="O19" i="1" s="1"/>
  <c r="I21" i="1"/>
  <c r="J21" i="1" s="1"/>
  <c r="I20" i="1"/>
  <c r="J20" i="1" s="1"/>
  <c r="I19" i="1"/>
  <c r="J19" i="1" s="1"/>
  <c r="N16" i="1"/>
  <c r="O16" i="1" s="1"/>
  <c r="N15" i="1"/>
  <c r="O15" i="1" s="1"/>
  <c r="N14" i="1"/>
  <c r="O14" i="1" s="1"/>
  <c r="I16" i="1"/>
  <c r="J16" i="1" s="1"/>
  <c r="I15" i="1"/>
  <c r="J15" i="1" s="1"/>
  <c r="I14" i="1"/>
  <c r="J14" i="1" s="1"/>
  <c r="N11" i="1"/>
  <c r="O11" i="1" s="1"/>
  <c r="N10" i="1"/>
  <c r="O10" i="1" s="1"/>
  <c r="N9" i="1"/>
  <c r="O9" i="1" s="1"/>
  <c r="I11" i="1"/>
  <c r="J11" i="1" s="1"/>
  <c r="I10" i="1"/>
  <c r="J10" i="1" s="1"/>
  <c r="I9" i="1"/>
  <c r="J9" i="1" s="1"/>
  <c r="I5" i="1"/>
  <c r="J5" i="1" s="1"/>
  <c r="I6" i="1"/>
  <c r="J6" i="1" s="1"/>
  <c r="I4" i="1"/>
  <c r="J4" i="1" s="1"/>
  <c r="N5" i="1"/>
  <c r="O5" i="1" s="1"/>
  <c r="N6" i="1"/>
  <c r="O6" i="1" s="1"/>
  <c r="N4" i="1"/>
  <c r="O4" i="1" s="1"/>
</calcChain>
</file>

<file path=xl/sharedStrings.xml><?xml version="1.0" encoding="utf-8"?>
<sst xmlns="http://schemas.openxmlformats.org/spreadsheetml/2006/main" count="245" uniqueCount="45">
  <si>
    <t>VD fa = 5</t>
  </si>
  <si>
    <t>VD fa = 10</t>
  </si>
  <si>
    <t>VD inicial</t>
  </si>
  <si>
    <t>Variación</t>
  </si>
  <si>
    <t>Atemp</t>
  </si>
  <si>
    <t>Z</t>
  </si>
  <si>
    <t>CO2eq(end)</t>
  </si>
  <si>
    <t>CO2eq</t>
  </si>
  <si>
    <t>CO2eq AFOLU</t>
  </si>
  <si>
    <t>Indicador</t>
  </si>
  <si>
    <t>V Inicial</t>
  </si>
  <si>
    <t>Vfinal</t>
  </si>
  <si>
    <t>P1a</t>
  </si>
  <si>
    <t>Cereales y Tubérculos</t>
  </si>
  <si>
    <t>Verduras</t>
  </si>
  <si>
    <t>Frutas</t>
  </si>
  <si>
    <t>Oleaginosas</t>
  </si>
  <si>
    <t>H1r</t>
  </si>
  <si>
    <t>Bovino</t>
  </si>
  <si>
    <t>Leche</t>
  </si>
  <si>
    <t>Ovino</t>
  </si>
  <si>
    <t>H1m</t>
  </si>
  <si>
    <t>Aves</t>
  </si>
  <si>
    <t>Porcino</t>
  </si>
  <si>
    <t>Huevo</t>
  </si>
  <si>
    <t>Otros ganados</t>
  </si>
  <si>
    <t>Pescado</t>
  </si>
  <si>
    <t>Compartimento (Xi)</t>
  </si>
  <si>
    <t>Categoría (Xj)</t>
  </si>
  <si>
    <t>%</t>
  </si>
  <si>
    <t>sum(CO2eq)</t>
  </si>
  <si>
    <t>sum (CO2eqAFOLU)</t>
  </si>
  <si>
    <t>CO2eq AFOLU (end)</t>
  </si>
  <si>
    <t>fa = 5%</t>
  </si>
  <si>
    <t>fa = 10%</t>
  </si>
  <si>
    <t>Caso Base</t>
  </si>
  <si>
    <t>CO2eq (ppm)</t>
  </si>
  <si>
    <t>Atemp (°C)</t>
  </si>
  <si>
    <t>Multiperiodo</t>
  </si>
  <si>
    <t>CO2eq AFOLU(Gt)</t>
  </si>
  <si>
    <t>Vd Op</t>
  </si>
  <si>
    <t>2021-2040</t>
  </si>
  <si>
    <t>2041-2060</t>
  </si>
  <si>
    <t>2061-2080</t>
  </si>
  <si>
    <t>2081-2100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</si>
</sst>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2" borderId="3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10" fontId="2" fillId="0" borderId="1" xfId="1" applyNumberFormat="1" applyFont="1" applyBorder="1" applyAlignment="1">
      <alignment horizontal="center"/>
    </xf>
    <xf numFmtId="10" fontId="5" fillId="0" borderId="1" xfId="1" applyNumberFormat="1" applyFont="1" applyBorder="1" applyAlignment="1">
      <alignment horizontal="center"/>
    </xf>
    <xf numFmtId="0" fontId="5" fillId="0" borderId="1" xfId="0" applyFont="1" applyBorder="1"/>
    <xf numFmtId="10" fontId="5" fillId="0" borderId="1" xfId="1" applyNumberFormat="1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/>
    <xf numFmtId="10" fontId="6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8" fillId="0" borderId="1" xfId="1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66" fontId="7" fillId="0" borderId="12" xfId="0" applyNumberFormat="1" applyFont="1" applyBorder="1" applyAlignment="1">
      <alignment horizontal="center" vertical="center" wrapText="1"/>
    </xf>
    <xf numFmtId="166" fontId="5" fillId="0" borderId="13" xfId="0" applyNumberFormat="1" applyFont="1" applyBorder="1" applyAlignment="1">
      <alignment horizontal="center" vertical="center" wrapText="1"/>
    </xf>
    <xf numFmtId="166" fontId="5" fillId="0" borderId="12" xfId="0" applyNumberFormat="1" applyFont="1" applyBorder="1" applyAlignment="1">
      <alignment horizontal="center" vertical="center" wrapText="1"/>
    </xf>
    <xf numFmtId="166" fontId="7" fillId="0" borderId="13" xfId="0" applyNumberFormat="1" applyFont="1" applyBorder="1" applyAlignment="1">
      <alignment horizontal="center" vertical="center" wrapText="1"/>
    </xf>
    <xf numFmtId="166" fontId="7" fillId="0" borderId="14" xfId="0" applyNumberFormat="1" applyFont="1" applyBorder="1" applyAlignment="1">
      <alignment horizontal="center" vertical="center" wrapText="1"/>
    </xf>
    <xf numFmtId="166" fontId="7" fillId="0" borderId="15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5" fontId="0" fillId="0" borderId="12" xfId="0" applyNumberFormat="1" applyBorder="1" applyAlignment="1">
      <alignment horizontal="center" vertical="center" wrapText="1"/>
    </xf>
    <xf numFmtId="165" fontId="0" fillId="0" borderId="13" xfId="0" applyNumberFormat="1" applyBorder="1" applyAlignment="1">
      <alignment horizontal="center" vertical="center" wrapText="1"/>
    </xf>
    <xf numFmtId="165" fontId="0" fillId="0" borderId="14" xfId="0" applyNumberFormat="1" applyBorder="1" applyAlignment="1">
      <alignment horizontal="center" vertical="center" wrapText="1"/>
    </xf>
    <xf numFmtId="165" fontId="0" fillId="0" borderId="15" xfId="0" applyNumberFormat="1" applyBorder="1" applyAlignment="1">
      <alignment horizontal="center" vertical="center" wrapText="1"/>
    </xf>
    <xf numFmtId="165" fontId="0" fillId="0" borderId="16" xfId="0" applyNumberFormat="1" applyBorder="1" applyAlignment="1">
      <alignment horizontal="center" vertical="center" wrapText="1"/>
    </xf>
    <xf numFmtId="165" fontId="8" fillId="0" borderId="6" xfId="1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7F7B-17DA-44F0-889B-71ADAB5AE559}">
  <dimension ref="B2:Z41"/>
  <sheetViews>
    <sheetView topLeftCell="H7" zoomScale="85" zoomScaleNormal="85" workbookViewId="0">
      <selection activeCell="Q20" sqref="Q20:V32"/>
    </sheetView>
  </sheetViews>
  <sheetFormatPr baseColWidth="10" defaultRowHeight="14.5" x14ac:dyDescent="0.35"/>
  <cols>
    <col min="1" max="1" width="6.7265625" customWidth="1"/>
    <col min="2" max="2" width="13.7265625" customWidth="1"/>
    <col min="3" max="3" width="17.54296875" bestFit="1" customWidth="1"/>
    <col min="4" max="4" width="19" bestFit="1" customWidth="1"/>
    <col min="6" max="6" width="8.1796875" customWidth="1"/>
    <col min="11" max="11" width="9.26953125" customWidth="1"/>
    <col min="17" max="17" width="15" customWidth="1"/>
    <col min="18" max="18" width="17.36328125" customWidth="1"/>
    <col min="22" max="22" width="13.36328125" bestFit="1" customWidth="1"/>
  </cols>
  <sheetData>
    <row r="2" spans="2:26" x14ac:dyDescent="0.35">
      <c r="G2" s="30" t="s">
        <v>0</v>
      </c>
      <c r="H2" s="30"/>
      <c r="I2" s="30"/>
      <c r="J2" s="30"/>
      <c r="K2" s="10"/>
      <c r="L2" s="30" t="s">
        <v>1</v>
      </c>
      <c r="M2" s="30"/>
      <c r="N2" s="30"/>
      <c r="O2" s="30"/>
      <c r="S2" s="40" t="s">
        <v>35</v>
      </c>
      <c r="T2" s="40"/>
      <c r="U2" s="37" t="s">
        <v>33</v>
      </c>
      <c r="V2" s="38"/>
      <c r="W2" s="39"/>
      <c r="X2" s="37" t="s">
        <v>34</v>
      </c>
      <c r="Y2" s="38"/>
      <c r="Z2" s="39"/>
    </row>
    <row r="3" spans="2:26" x14ac:dyDescent="0.35">
      <c r="B3" s="7" t="s">
        <v>5</v>
      </c>
      <c r="C3" s="7" t="s">
        <v>9</v>
      </c>
      <c r="D3" s="7" t="s">
        <v>10</v>
      </c>
      <c r="E3" s="7" t="s">
        <v>11</v>
      </c>
      <c r="G3" s="7" t="s">
        <v>10</v>
      </c>
      <c r="H3" s="7" t="s">
        <v>11</v>
      </c>
      <c r="I3" s="7" t="s">
        <v>3</v>
      </c>
      <c r="J3" s="7" t="s">
        <v>29</v>
      </c>
      <c r="K3" s="11"/>
      <c r="L3" s="7" t="s">
        <v>10</v>
      </c>
      <c r="M3" s="6" t="s">
        <v>11</v>
      </c>
      <c r="N3" s="9" t="s">
        <v>3</v>
      </c>
      <c r="O3" s="7" t="s">
        <v>29</v>
      </c>
      <c r="Q3" s="7" t="s">
        <v>5</v>
      </c>
      <c r="R3" s="7" t="s">
        <v>9</v>
      </c>
      <c r="S3" s="7" t="s">
        <v>10</v>
      </c>
      <c r="T3" s="7" t="s">
        <v>11</v>
      </c>
      <c r="U3" s="7" t="s">
        <v>11</v>
      </c>
      <c r="V3" s="7" t="s">
        <v>3</v>
      </c>
      <c r="W3" s="7" t="s">
        <v>29</v>
      </c>
      <c r="X3" s="6" t="s">
        <v>11</v>
      </c>
      <c r="Y3" s="9" t="s">
        <v>3</v>
      </c>
      <c r="Z3" s="7" t="s">
        <v>29</v>
      </c>
    </row>
    <row r="4" spans="2:26" ht="14.5" customHeight="1" x14ac:dyDescent="0.35">
      <c r="B4" s="31" t="s">
        <v>6</v>
      </c>
      <c r="C4" s="4" t="s">
        <v>7</v>
      </c>
      <c r="D4" s="5">
        <v>522.08093344594397</v>
      </c>
      <c r="E4" s="5">
        <v>608.99379510491599</v>
      </c>
      <c r="G4" s="3">
        <v>522.08227514071496</v>
      </c>
      <c r="H4" s="3">
        <v>574.83918083277899</v>
      </c>
      <c r="I4" s="15">
        <f>H4-E4</f>
        <v>-34.154614272136996</v>
      </c>
      <c r="J4" s="16">
        <f>I4/E4</f>
        <v>-5.6083681880950725E-2</v>
      </c>
      <c r="K4" s="12"/>
      <c r="L4" s="3">
        <v>522.07889117288903</v>
      </c>
      <c r="M4" s="3">
        <v>642.73032034890798</v>
      </c>
      <c r="N4" s="8">
        <f>M4-E4</f>
        <v>33.736525243991991</v>
      </c>
      <c r="O4" s="13">
        <f>N4/E4</f>
        <v>5.5397157598592518E-2</v>
      </c>
      <c r="Q4" s="34" t="s">
        <v>6</v>
      </c>
      <c r="R4" s="20" t="s">
        <v>36</v>
      </c>
      <c r="S4" s="5">
        <v>522.08093344594397</v>
      </c>
      <c r="T4" s="5">
        <v>608.99379510491599</v>
      </c>
      <c r="U4" s="3">
        <v>574.83918083277899</v>
      </c>
      <c r="V4" s="15">
        <f t="shared" ref="V4:V15" si="0">U4-T4</f>
        <v>-34.154614272136996</v>
      </c>
      <c r="W4" s="16">
        <f t="shared" ref="W4:W15" si="1">V4/T4</f>
        <v>-5.6083681880950725E-2</v>
      </c>
      <c r="X4" s="3">
        <v>642.73032034890798</v>
      </c>
      <c r="Y4" s="8">
        <f t="shared" ref="Y4:Y15" si="2">X4-T4</f>
        <v>33.736525243991991</v>
      </c>
      <c r="Z4" s="13">
        <f t="shared" ref="Z4:Z15" si="3">Y4/T4</f>
        <v>5.5397157598592518E-2</v>
      </c>
    </row>
    <row r="5" spans="2:26" x14ac:dyDescent="0.35">
      <c r="B5" s="31"/>
      <c r="C5" s="4" t="s">
        <v>8</v>
      </c>
      <c r="D5" s="5">
        <v>0.92414368538749303</v>
      </c>
      <c r="E5" s="5">
        <v>1.0946367702961699</v>
      </c>
      <c r="G5" s="3">
        <v>0.93805815357192301</v>
      </c>
      <c r="H5" s="3">
        <v>0.97397162291992001</v>
      </c>
      <c r="I5" s="15">
        <f t="shared" ref="I5:I6" si="4">H5-E5</f>
        <v>-0.12066514737624989</v>
      </c>
      <c r="J5" s="16">
        <f t="shared" ref="J5:J6" si="5">I5/E5</f>
        <v>-0.11023304775665647</v>
      </c>
      <c r="K5" s="12"/>
      <c r="L5" s="3">
        <v>0.88794356704805499</v>
      </c>
      <c r="M5" s="3">
        <v>1.0440147503522901</v>
      </c>
      <c r="N5" s="15">
        <f>M5-E5</f>
        <v>-5.0622019943879826E-2</v>
      </c>
      <c r="O5" s="14">
        <f t="shared" ref="O5:O6" si="6">N5/E5</f>
        <v>-4.6245495599588987E-2</v>
      </c>
      <c r="Q5" s="35"/>
      <c r="R5" s="20" t="s">
        <v>39</v>
      </c>
      <c r="S5" s="5">
        <v>0.92414368538749303</v>
      </c>
      <c r="T5" s="5">
        <v>1.0946367702961699</v>
      </c>
      <c r="U5" s="3">
        <v>0.97397162291992001</v>
      </c>
      <c r="V5" s="15">
        <f t="shared" si="0"/>
        <v>-0.12066514737624989</v>
      </c>
      <c r="W5" s="16">
        <f t="shared" si="1"/>
        <v>-0.11023304775665647</v>
      </c>
      <c r="X5" s="3">
        <v>1.0440147503522901</v>
      </c>
      <c r="Y5" s="15">
        <f t="shared" si="2"/>
        <v>-5.0622019943879826E-2</v>
      </c>
      <c r="Z5" s="14">
        <f t="shared" si="3"/>
        <v>-4.6245495599588987E-2</v>
      </c>
    </row>
    <row r="6" spans="2:26" x14ac:dyDescent="0.35">
      <c r="B6" s="31"/>
      <c r="C6" s="4" t="s">
        <v>4</v>
      </c>
      <c r="D6" s="5">
        <v>0.99129999999999996</v>
      </c>
      <c r="E6" s="5">
        <v>1.88221052848274</v>
      </c>
      <c r="G6" s="3">
        <v>0.99129999999999996</v>
      </c>
      <c r="H6" s="3">
        <v>1.4861272961101799</v>
      </c>
      <c r="I6" s="15">
        <f t="shared" si="4"/>
        <v>-0.39608323237256005</v>
      </c>
      <c r="J6" s="16">
        <f t="shared" si="5"/>
        <v>-0.21043513803519359</v>
      </c>
      <c r="K6" s="12"/>
      <c r="L6" s="3">
        <v>0.99125357943926096</v>
      </c>
      <c r="M6" s="3">
        <v>2.3230174913149599</v>
      </c>
      <c r="N6" s="8">
        <f>M6-E6</f>
        <v>0.44080696283221998</v>
      </c>
      <c r="O6" s="13">
        <f t="shared" si="6"/>
        <v>0.23419641754291792</v>
      </c>
      <c r="Q6" s="36"/>
      <c r="R6" s="20" t="s">
        <v>37</v>
      </c>
      <c r="S6" s="5">
        <v>0.99129999999999996</v>
      </c>
      <c r="T6" s="5">
        <v>1.88221052848274</v>
      </c>
      <c r="U6" s="3">
        <v>1.4861272961101799</v>
      </c>
      <c r="V6" s="15">
        <f t="shared" si="0"/>
        <v>-0.39608323237256005</v>
      </c>
      <c r="W6" s="16">
        <f t="shared" si="1"/>
        <v>-0.21043513803519359</v>
      </c>
      <c r="X6" s="3">
        <v>2.3230174913149599</v>
      </c>
      <c r="Y6" s="8">
        <f t="shared" si="2"/>
        <v>0.44080696283221998</v>
      </c>
      <c r="Z6" s="13">
        <f t="shared" si="3"/>
        <v>0.23419641754291792</v>
      </c>
    </row>
    <row r="7" spans="2:26" x14ac:dyDescent="0.35">
      <c r="Q7" s="34" t="s">
        <v>30</v>
      </c>
      <c r="R7" s="20" t="s">
        <v>36</v>
      </c>
      <c r="S7" s="5">
        <v>522.08093344594397</v>
      </c>
      <c r="T7" s="5">
        <v>608.99379510491599</v>
      </c>
      <c r="U7" s="3">
        <v>574.83899114267399</v>
      </c>
      <c r="V7" s="15">
        <f t="shared" si="0"/>
        <v>-34.154803962241999</v>
      </c>
      <c r="W7" s="16">
        <f t="shared" si="1"/>
        <v>-5.6083993362129235E-2</v>
      </c>
      <c r="X7" s="17">
        <v>573.63567350892197</v>
      </c>
      <c r="Y7" s="18">
        <f t="shared" si="2"/>
        <v>-35.358121595994021</v>
      </c>
      <c r="Z7" s="19">
        <f t="shared" si="3"/>
        <v>-5.8059904518243256E-2</v>
      </c>
    </row>
    <row r="8" spans="2:26" x14ac:dyDescent="0.35">
      <c r="B8" s="7" t="s">
        <v>5</v>
      </c>
      <c r="C8" s="7" t="s">
        <v>9</v>
      </c>
      <c r="D8" s="7" t="s">
        <v>10</v>
      </c>
      <c r="E8" s="7" t="s">
        <v>11</v>
      </c>
      <c r="G8" s="7" t="s">
        <v>10</v>
      </c>
      <c r="H8" s="7" t="s">
        <v>11</v>
      </c>
      <c r="I8" s="7" t="s">
        <v>3</v>
      </c>
      <c r="J8" s="7" t="s">
        <v>29</v>
      </c>
      <c r="K8" s="11"/>
      <c r="L8" s="7" t="s">
        <v>10</v>
      </c>
      <c r="M8" s="7" t="s">
        <v>11</v>
      </c>
      <c r="N8" s="7" t="s">
        <v>3</v>
      </c>
      <c r="O8" s="7" t="s">
        <v>29</v>
      </c>
      <c r="Q8" s="35"/>
      <c r="R8" s="20" t="s">
        <v>39</v>
      </c>
      <c r="S8" s="5">
        <v>0.92414368538749303</v>
      </c>
      <c r="T8" s="5">
        <v>1.0946367702961699</v>
      </c>
      <c r="U8" s="3">
        <v>0.97394541664431</v>
      </c>
      <c r="V8" s="15">
        <f t="shared" si="0"/>
        <v>-0.1206913536518599</v>
      </c>
      <c r="W8" s="16">
        <f t="shared" si="1"/>
        <v>-0.11025698836994585</v>
      </c>
      <c r="X8" s="17">
        <v>0.93866727059688304</v>
      </c>
      <c r="Y8" s="18">
        <f t="shared" si="2"/>
        <v>-0.15596949969928686</v>
      </c>
      <c r="Z8" s="19">
        <f t="shared" si="3"/>
        <v>-0.14248516396638772</v>
      </c>
    </row>
    <row r="9" spans="2:26" ht="14.5" customHeight="1" x14ac:dyDescent="0.35">
      <c r="B9" s="31" t="s">
        <v>30</v>
      </c>
      <c r="C9" s="4" t="s">
        <v>7</v>
      </c>
      <c r="D9" s="5">
        <v>522.08093344594397</v>
      </c>
      <c r="E9" s="5">
        <v>608.99379510491599</v>
      </c>
      <c r="G9" s="3">
        <v>522.08227447266404</v>
      </c>
      <c r="H9" s="3">
        <v>574.83899114267399</v>
      </c>
      <c r="I9" s="15">
        <f>H9-E9</f>
        <v>-34.154803962241999</v>
      </c>
      <c r="J9" s="16">
        <f>I9/E9</f>
        <v>-5.6083993362129235E-2</v>
      </c>
      <c r="K9" s="12"/>
      <c r="L9" s="17">
        <v>522.08188068433299</v>
      </c>
      <c r="M9" s="17">
        <v>573.63567350892197</v>
      </c>
      <c r="N9" s="18">
        <f>M9-E9</f>
        <v>-35.358121595994021</v>
      </c>
      <c r="O9" s="19">
        <f>N9/E9</f>
        <v>-5.8059904518243256E-2</v>
      </c>
      <c r="Q9" s="36"/>
      <c r="R9" s="20" t="s">
        <v>37</v>
      </c>
      <c r="S9" s="5">
        <v>0.99129999999999996</v>
      </c>
      <c r="T9" s="5">
        <v>1.88221052848274</v>
      </c>
      <c r="U9" s="3">
        <v>1.4861252354813701</v>
      </c>
      <c r="V9" s="15">
        <f t="shared" si="0"/>
        <v>-0.39608529300136985</v>
      </c>
      <c r="W9" s="16">
        <f t="shared" si="1"/>
        <v>-0.21043623282707719</v>
      </c>
      <c r="X9" s="17">
        <v>1.4731347668558901</v>
      </c>
      <c r="Y9" s="18">
        <f t="shared" si="2"/>
        <v>-0.40907576162684989</v>
      </c>
      <c r="Z9" s="19">
        <f t="shared" si="3"/>
        <v>-0.21733794144516239</v>
      </c>
    </row>
    <row r="10" spans="2:26" ht="14.5" customHeight="1" x14ac:dyDescent="0.35">
      <c r="B10" s="31"/>
      <c r="C10" s="4" t="s">
        <v>8</v>
      </c>
      <c r="D10" s="5">
        <v>0.92414368538749303</v>
      </c>
      <c r="E10" s="5">
        <v>1.0946367702961699</v>
      </c>
      <c r="G10" s="3">
        <v>0.93803800692537898</v>
      </c>
      <c r="H10" s="3">
        <v>0.97394541664431</v>
      </c>
      <c r="I10" s="15">
        <f t="shared" ref="I10:I11" si="7">H10-E10</f>
        <v>-0.1206913536518599</v>
      </c>
      <c r="J10" s="16">
        <f t="shared" ref="J10:J11" si="8">I10/E10</f>
        <v>-0.11025698836994585</v>
      </c>
      <c r="K10" s="12"/>
      <c r="L10" s="17">
        <v>0.92380859996034204</v>
      </c>
      <c r="M10" s="17">
        <v>0.93866727059688304</v>
      </c>
      <c r="N10" s="18">
        <f>M10-E10</f>
        <v>-0.15596949969928686</v>
      </c>
      <c r="O10" s="19">
        <f t="shared" ref="O10:O11" si="9">N10/E10</f>
        <v>-0.14248516396638772</v>
      </c>
      <c r="Q10" s="34" t="s">
        <v>32</v>
      </c>
      <c r="R10" s="20" t="s">
        <v>36</v>
      </c>
      <c r="S10" s="5">
        <v>522.08093344594397</v>
      </c>
      <c r="T10" s="5">
        <v>608.99379510491599</v>
      </c>
      <c r="U10" s="3">
        <v>608.79011831438697</v>
      </c>
      <c r="V10" s="15">
        <f t="shared" si="0"/>
        <v>-0.20367679052901622</v>
      </c>
      <c r="W10" s="16">
        <f t="shared" si="1"/>
        <v>-3.3444805540904941E-4</v>
      </c>
      <c r="X10" s="3">
        <v>608.65248182078903</v>
      </c>
      <c r="Y10" s="15">
        <f t="shared" si="2"/>
        <v>-0.34131328412695439</v>
      </c>
      <c r="Z10" s="14">
        <f t="shared" si="3"/>
        <v>-5.604544526897089E-4</v>
      </c>
    </row>
    <row r="11" spans="2:26" x14ac:dyDescent="0.35">
      <c r="B11" s="31"/>
      <c r="C11" s="4" t="s">
        <v>4</v>
      </c>
      <c r="D11" s="5">
        <v>0.99129999999999996</v>
      </c>
      <c r="E11" s="5">
        <v>1.88221052848274</v>
      </c>
      <c r="G11" s="3">
        <v>0.99129999999999996</v>
      </c>
      <c r="H11" s="3">
        <v>1.4861252354813701</v>
      </c>
      <c r="I11" s="15">
        <f t="shared" si="7"/>
        <v>-0.39608529300136985</v>
      </c>
      <c r="J11" s="16">
        <f t="shared" si="8"/>
        <v>-0.21043623282707719</v>
      </c>
      <c r="K11" s="12"/>
      <c r="L11" s="17">
        <v>0.99127310213050501</v>
      </c>
      <c r="M11" s="17">
        <v>1.4731347668558901</v>
      </c>
      <c r="N11" s="18">
        <f>M11-E11</f>
        <v>-0.40907576162684989</v>
      </c>
      <c r="O11" s="19">
        <f t="shared" si="9"/>
        <v>-0.21733794144516239</v>
      </c>
      <c r="Q11" s="35"/>
      <c r="R11" s="20" t="s">
        <v>39</v>
      </c>
      <c r="S11" s="5">
        <v>0.92414368538749303</v>
      </c>
      <c r="T11" s="5">
        <v>1.0946367702961699</v>
      </c>
      <c r="U11" s="3">
        <v>1.08304262985753</v>
      </c>
      <c r="V11" s="15">
        <f t="shared" si="0"/>
        <v>-1.1594140438639933E-2</v>
      </c>
      <c r="W11" s="16">
        <f t="shared" si="1"/>
        <v>-1.0591769574397697E-2</v>
      </c>
      <c r="X11" s="3">
        <v>1.04951732605687</v>
      </c>
      <c r="Y11" s="15">
        <f t="shared" si="2"/>
        <v>-4.5119444239299922E-2</v>
      </c>
      <c r="Z11" s="14">
        <f t="shared" si="3"/>
        <v>-4.1218644817761968E-2</v>
      </c>
    </row>
    <row r="12" spans="2:26" x14ac:dyDescent="0.35">
      <c r="Q12" s="36"/>
      <c r="R12" s="20" t="s">
        <v>37</v>
      </c>
      <c r="S12" s="5">
        <v>0.99129999999999996</v>
      </c>
      <c r="T12" s="5">
        <v>1.88221052848274</v>
      </c>
      <c r="U12" s="3">
        <v>1.8797159620108901</v>
      </c>
      <c r="V12" s="15">
        <f t="shared" si="0"/>
        <v>-2.4945664718498683E-3</v>
      </c>
      <c r="W12" s="16">
        <f t="shared" si="1"/>
        <v>-1.3253387089810574E-3</v>
      </c>
      <c r="X12" s="3">
        <v>1.8780189190241801</v>
      </c>
      <c r="Y12" s="15">
        <f t="shared" si="2"/>
        <v>-4.1916094585598973E-3</v>
      </c>
      <c r="Z12" s="14">
        <f t="shared" si="3"/>
        <v>-2.2269610094779227E-3</v>
      </c>
    </row>
    <row r="13" spans="2:26" x14ac:dyDescent="0.35">
      <c r="B13" s="7" t="s">
        <v>5</v>
      </c>
      <c r="C13" s="7" t="s">
        <v>9</v>
      </c>
      <c r="D13" s="7" t="s">
        <v>10</v>
      </c>
      <c r="E13" s="7" t="s">
        <v>11</v>
      </c>
      <c r="G13" s="7" t="s">
        <v>10</v>
      </c>
      <c r="H13" s="7" t="s">
        <v>11</v>
      </c>
      <c r="I13" s="7" t="s">
        <v>3</v>
      </c>
      <c r="J13" s="7" t="s">
        <v>29</v>
      </c>
      <c r="K13" s="11"/>
      <c r="L13" s="7" t="s">
        <v>10</v>
      </c>
      <c r="M13" s="6" t="s">
        <v>11</v>
      </c>
      <c r="N13" s="9" t="s">
        <v>3</v>
      </c>
      <c r="O13" s="7" t="s">
        <v>29</v>
      </c>
      <c r="Q13" s="34" t="s">
        <v>31</v>
      </c>
      <c r="R13" s="20" t="s">
        <v>36</v>
      </c>
      <c r="S13" s="5">
        <v>522.08093344594397</v>
      </c>
      <c r="T13" s="5">
        <v>608.99379510491599</v>
      </c>
      <c r="U13" s="3">
        <v>608.79011831438697</v>
      </c>
      <c r="V13" s="15">
        <f t="shared" si="0"/>
        <v>-0.20367679052901622</v>
      </c>
      <c r="W13" s="16">
        <f t="shared" si="1"/>
        <v>-3.3444805540904941E-4</v>
      </c>
      <c r="X13" s="3">
        <v>608.65248182078903</v>
      </c>
      <c r="Y13" s="15">
        <f t="shared" si="2"/>
        <v>-0.34131328412695439</v>
      </c>
      <c r="Z13" s="14">
        <f t="shared" si="3"/>
        <v>-5.604544526897089E-4</v>
      </c>
    </row>
    <row r="14" spans="2:26" ht="14.5" customHeight="1" x14ac:dyDescent="0.35">
      <c r="B14" s="31" t="s">
        <v>32</v>
      </c>
      <c r="C14" s="4" t="s">
        <v>7</v>
      </c>
      <c r="D14" s="5">
        <v>522.08093344594397</v>
      </c>
      <c r="E14" s="5">
        <v>608.99379510491599</v>
      </c>
      <c r="G14" s="3">
        <v>522.08080732806502</v>
      </c>
      <c r="H14" s="3">
        <v>608.79011831438697</v>
      </c>
      <c r="I14" s="15">
        <f>H14-E14</f>
        <v>-0.20367679052901622</v>
      </c>
      <c r="J14" s="16">
        <f>I14/E14</f>
        <v>-3.3444805540904941E-4</v>
      </c>
      <c r="K14" s="12"/>
      <c r="L14" s="3">
        <v>522.08002383661506</v>
      </c>
      <c r="M14" s="3">
        <v>608.65248182078903</v>
      </c>
      <c r="N14" s="15">
        <f>M14-E14</f>
        <v>-0.34131328412695439</v>
      </c>
      <c r="O14" s="14">
        <f>N14/E14</f>
        <v>-5.604544526897089E-4</v>
      </c>
      <c r="Q14" s="35"/>
      <c r="R14" s="20" t="s">
        <v>39</v>
      </c>
      <c r="S14" s="5">
        <v>0.92414368538749303</v>
      </c>
      <c r="T14" s="5">
        <v>1.0946367702961699</v>
      </c>
      <c r="U14" s="3">
        <v>1.08304262985753</v>
      </c>
      <c r="V14" s="15">
        <f t="shared" si="0"/>
        <v>-1.1594140438639933E-2</v>
      </c>
      <c r="W14" s="16">
        <f t="shared" si="1"/>
        <v>-1.0591769574397697E-2</v>
      </c>
      <c r="X14" s="3">
        <v>1.04951732605687</v>
      </c>
      <c r="Y14" s="15">
        <f t="shared" si="2"/>
        <v>-4.5119444239299922E-2</v>
      </c>
      <c r="Z14" s="14">
        <f t="shared" si="3"/>
        <v>-4.1218644817761968E-2</v>
      </c>
    </row>
    <row r="15" spans="2:26" ht="14.5" customHeight="1" x14ac:dyDescent="0.35">
      <c r="B15" s="31"/>
      <c r="C15" s="4" t="s">
        <v>8</v>
      </c>
      <c r="D15" s="5">
        <v>0.92414368538749303</v>
      </c>
      <c r="E15" s="5">
        <v>1.0946367702961699</v>
      </c>
      <c r="G15" s="3">
        <v>0.91867926284771095</v>
      </c>
      <c r="H15" s="3">
        <v>1.08304262985753</v>
      </c>
      <c r="I15" s="15">
        <f t="shared" ref="I15:I16" si="10">H15-E15</f>
        <v>-1.1594140438639933E-2</v>
      </c>
      <c r="J15" s="16">
        <f t="shared" ref="J15:J16" si="11">I15/E15</f>
        <v>-1.0591769574397697E-2</v>
      </c>
      <c r="K15" s="12"/>
      <c r="L15" s="3">
        <v>0.89535710620725195</v>
      </c>
      <c r="M15" s="3">
        <v>1.04951732605687</v>
      </c>
      <c r="N15" s="15">
        <f>M15-E15</f>
        <v>-4.5119444239299922E-2</v>
      </c>
      <c r="O15" s="14">
        <f t="shared" ref="O15:O16" si="12">N15/E15</f>
        <v>-4.1218644817761968E-2</v>
      </c>
      <c r="Q15" s="36"/>
      <c r="R15" s="20" t="s">
        <v>37</v>
      </c>
      <c r="S15" s="5">
        <v>0.99129999999999996</v>
      </c>
      <c r="T15" s="5">
        <v>1.88221052848274</v>
      </c>
      <c r="U15" s="3">
        <v>1.8797159620108901</v>
      </c>
      <c r="V15" s="15">
        <f t="shared" si="0"/>
        <v>-2.4945664718498683E-3</v>
      </c>
      <c r="W15" s="16">
        <f t="shared" si="1"/>
        <v>-1.3253387089810574E-3</v>
      </c>
      <c r="X15" s="3">
        <v>1.8780189190241801</v>
      </c>
      <c r="Y15" s="15">
        <f t="shared" si="2"/>
        <v>-4.1916094585598973E-3</v>
      </c>
      <c r="Z15" s="14">
        <f t="shared" si="3"/>
        <v>-2.2269610094779227E-3</v>
      </c>
    </row>
    <row r="16" spans="2:26" x14ac:dyDescent="0.35">
      <c r="B16" s="31"/>
      <c r="C16" s="4" t="s">
        <v>4</v>
      </c>
      <c r="D16" s="5">
        <v>0.99129999999999996</v>
      </c>
      <c r="E16" s="5">
        <v>1.88221052848274</v>
      </c>
      <c r="G16" s="3">
        <v>0.99126657354895098</v>
      </c>
      <c r="H16" s="3">
        <v>1.8797159620108901</v>
      </c>
      <c r="I16" s="15">
        <f t="shared" si="10"/>
        <v>-2.4945664718498683E-3</v>
      </c>
      <c r="J16" s="16">
        <f t="shared" si="11"/>
        <v>-1.3253387089810574E-3</v>
      </c>
      <c r="K16" s="12"/>
      <c r="L16" s="3">
        <v>0.99126094633353101</v>
      </c>
      <c r="M16" s="3">
        <v>1.8780189190241801</v>
      </c>
      <c r="N16" s="15">
        <f>M16-E16</f>
        <v>-4.1916094585598973E-3</v>
      </c>
      <c r="O16" s="14">
        <f t="shared" si="12"/>
        <v>-2.2269610094779227E-3</v>
      </c>
    </row>
    <row r="18" spans="2:22" x14ac:dyDescent="0.35">
      <c r="B18" s="7" t="s">
        <v>5</v>
      </c>
      <c r="C18" s="7" t="s">
        <v>9</v>
      </c>
      <c r="D18" s="7" t="s">
        <v>10</v>
      </c>
      <c r="E18" s="7" t="s">
        <v>11</v>
      </c>
      <c r="G18" s="7" t="s">
        <v>10</v>
      </c>
      <c r="H18" s="7" t="s">
        <v>11</v>
      </c>
      <c r="I18" s="7" t="s">
        <v>3</v>
      </c>
      <c r="J18" s="7" t="s">
        <v>29</v>
      </c>
      <c r="K18" s="11"/>
      <c r="L18" s="7" t="s">
        <v>10</v>
      </c>
      <c r="M18" s="7" t="s">
        <v>11</v>
      </c>
      <c r="N18" s="7" t="s">
        <v>3</v>
      </c>
      <c r="O18" s="7" t="s">
        <v>29</v>
      </c>
    </row>
    <row r="19" spans="2:22" ht="14.5" customHeight="1" x14ac:dyDescent="0.35">
      <c r="B19" s="34" t="s">
        <v>31</v>
      </c>
      <c r="C19" s="4" t="s">
        <v>7</v>
      </c>
      <c r="D19" s="5">
        <v>522.08093344594397</v>
      </c>
      <c r="E19" s="5">
        <v>608.99379510491599</v>
      </c>
      <c r="G19" s="3">
        <v>522.08080732806502</v>
      </c>
      <c r="H19" s="3">
        <v>608.79011831438697</v>
      </c>
      <c r="I19" s="15">
        <f>H19-E19</f>
        <v>-0.20367679052901622</v>
      </c>
      <c r="J19" s="16">
        <f>I19/E19</f>
        <v>-3.3444805540904941E-4</v>
      </c>
      <c r="K19" s="12"/>
      <c r="L19" s="3">
        <v>522.08002383661506</v>
      </c>
      <c r="M19" s="3">
        <v>608.65248182078903</v>
      </c>
      <c r="N19" s="15">
        <f>M19-E19</f>
        <v>-0.34131328412695439</v>
      </c>
      <c r="O19" s="14">
        <f>N19/E19</f>
        <v>-5.604544526897089E-4</v>
      </c>
      <c r="Q19" s="33"/>
      <c r="R19" s="33"/>
      <c r="S19" s="33"/>
      <c r="T19" s="33"/>
      <c r="U19" s="33"/>
      <c r="V19" s="33"/>
    </row>
    <row r="20" spans="2:22" ht="14.5" customHeight="1" x14ac:dyDescent="0.35">
      <c r="B20" s="35"/>
      <c r="C20" s="4" t="s">
        <v>8</v>
      </c>
      <c r="D20" s="5">
        <v>0.92414368538749303</v>
      </c>
      <c r="E20" s="5">
        <v>1.0946367702961699</v>
      </c>
      <c r="G20" s="3">
        <v>0.91867926284771095</v>
      </c>
      <c r="H20" s="3">
        <v>1.08304262985753</v>
      </c>
      <c r="I20" s="15">
        <f t="shared" ref="I20:I21" si="13">H20-E20</f>
        <v>-1.1594140438639933E-2</v>
      </c>
      <c r="J20" s="16">
        <f t="shared" ref="J20:J21" si="14">I20/E20</f>
        <v>-1.0591769574397697E-2</v>
      </c>
      <c r="K20" s="12"/>
      <c r="L20" s="3">
        <v>0.89535710620725195</v>
      </c>
      <c r="M20" s="3">
        <v>1.04951732605687</v>
      </c>
      <c r="N20" s="15">
        <f>M20-E20</f>
        <v>-4.5119444239299922E-2</v>
      </c>
      <c r="O20" s="14">
        <f t="shared" ref="O20:O21" si="15">N20/E20</f>
        <v>-4.1218644817761968E-2</v>
      </c>
      <c r="Q20" s="21" t="s">
        <v>27</v>
      </c>
      <c r="R20" s="21" t="s">
        <v>28</v>
      </c>
      <c r="S20" s="22" t="s">
        <v>2</v>
      </c>
      <c r="T20" s="22" t="s">
        <v>40</v>
      </c>
      <c r="U20" s="22" t="s">
        <v>3</v>
      </c>
      <c r="V20" s="22" t="s">
        <v>29</v>
      </c>
    </row>
    <row r="21" spans="2:22" x14ac:dyDescent="0.35">
      <c r="B21" s="36"/>
      <c r="C21" s="4" t="s">
        <v>4</v>
      </c>
      <c r="D21" s="5">
        <v>0.99129999999999996</v>
      </c>
      <c r="E21" s="5">
        <v>1.88221052848274</v>
      </c>
      <c r="G21" s="3">
        <v>0.99126657354895098</v>
      </c>
      <c r="H21" s="3">
        <v>1.8797159620108901</v>
      </c>
      <c r="I21" s="15">
        <f t="shared" si="13"/>
        <v>-2.4945664718498683E-3</v>
      </c>
      <c r="J21" s="16">
        <f t="shared" si="14"/>
        <v>-1.3253387089810574E-3</v>
      </c>
      <c r="K21" s="12"/>
      <c r="L21" s="3">
        <v>0.99126094633353101</v>
      </c>
      <c r="M21" s="3">
        <v>1.8780189190241801</v>
      </c>
      <c r="N21" s="15">
        <f>M21-E21</f>
        <v>-4.1916094585598973E-3</v>
      </c>
      <c r="O21" s="14">
        <f t="shared" si="15"/>
        <v>-2.2269610094779227E-3</v>
      </c>
      <c r="Q21" s="32" t="s">
        <v>12</v>
      </c>
      <c r="R21" s="3" t="s">
        <v>13</v>
      </c>
      <c r="S21" s="24">
        <v>0.3841</v>
      </c>
      <c r="T21" s="24">
        <v>0.34572244691173598</v>
      </c>
      <c r="U21" s="24">
        <f>T21-S21</f>
        <v>-3.8377553088264016E-2</v>
      </c>
      <c r="V21" s="25">
        <f>U21/S21</f>
        <v>-9.9915524832762337E-2</v>
      </c>
    </row>
    <row r="22" spans="2:22" x14ac:dyDescent="0.35">
      <c r="Q22" s="32"/>
      <c r="R22" s="3" t="s">
        <v>14</v>
      </c>
      <c r="S22" s="24">
        <v>0.2462</v>
      </c>
      <c r="T22" s="24">
        <v>0.26390865574736999</v>
      </c>
      <c r="U22" s="24">
        <f t="shared" ref="U22:U32" si="16">T22-S22</f>
        <v>1.7708655747369989E-2</v>
      </c>
      <c r="V22" s="26">
        <f t="shared" ref="V22:V32" si="17">U22/S22</f>
        <v>7.1927927487286714E-2</v>
      </c>
    </row>
    <row r="23" spans="2:22" x14ac:dyDescent="0.35">
      <c r="Q23" s="32"/>
      <c r="R23" s="3" t="s">
        <v>15</v>
      </c>
      <c r="S23" s="24">
        <v>0.29780000000000001</v>
      </c>
      <c r="T23" s="24">
        <v>0.323064129381603</v>
      </c>
      <c r="U23" s="24">
        <f t="shared" si="16"/>
        <v>2.5264129381602995E-2</v>
      </c>
      <c r="V23" s="26">
        <f t="shared" si="17"/>
        <v>8.483589449833108E-2</v>
      </c>
    </row>
    <row r="24" spans="2:22" x14ac:dyDescent="0.35">
      <c r="Q24" s="32"/>
      <c r="R24" s="3" t="s">
        <v>16</v>
      </c>
      <c r="S24" s="24">
        <v>7.1900000000000006E-2</v>
      </c>
      <c r="T24" s="24">
        <v>6.7304767959310702E-2</v>
      </c>
      <c r="U24" s="24">
        <f t="shared" si="16"/>
        <v>-4.5952320406893038E-3</v>
      </c>
      <c r="V24" s="25">
        <f t="shared" si="17"/>
        <v>-6.3911433111116883E-2</v>
      </c>
    </row>
    <row r="25" spans="2:22" x14ac:dyDescent="0.35">
      <c r="Q25" s="32" t="s">
        <v>17</v>
      </c>
      <c r="R25" s="3" t="s">
        <v>18</v>
      </c>
      <c r="S25" s="24">
        <v>7.1400000000000005E-2</v>
      </c>
      <c r="T25" s="24">
        <v>6.4263233764958794E-2</v>
      </c>
      <c r="U25" s="24">
        <f t="shared" si="16"/>
        <v>-7.1367662350412114E-3</v>
      </c>
      <c r="V25" s="25">
        <f t="shared" si="17"/>
        <v>-9.9954709174246648E-2</v>
      </c>
    </row>
    <row r="26" spans="2:22" x14ac:dyDescent="0.35">
      <c r="Q26" s="32"/>
      <c r="R26" s="3" t="s">
        <v>19</v>
      </c>
      <c r="S26" s="24">
        <v>0.91259999999999997</v>
      </c>
      <c r="T26" s="24">
        <v>0.92117999979598697</v>
      </c>
      <c r="U26" s="24">
        <f t="shared" si="16"/>
        <v>8.5799997959870034E-3</v>
      </c>
      <c r="V26" s="26">
        <f t="shared" si="17"/>
        <v>9.4017091781580138E-3</v>
      </c>
    </row>
    <row r="27" spans="2:22" x14ac:dyDescent="0.35">
      <c r="Q27" s="32"/>
      <c r="R27" s="3" t="s">
        <v>20</v>
      </c>
      <c r="S27" s="24">
        <v>1.6E-2</v>
      </c>
      <c r="T27" s="24">
        <v>1.4556766439081501E-2</v>
      </c>
      <c r="U27" s="24">
        <f t="shared" si="16"/>
        <v>-1.4432335609184995E-3</v>
      </c>
      <c r="V27" s="25">
        <f t="shared" si="17"/>
        <v>-9.0202097557406213E-2</v>
      </c>
    </row>
    <row r="28" spans="2:22" x14ac:dyDescent="0.35">
      <c r="I28" s="1"/>
      <c r="J28" s="1"/>
      <c r="Q28" s="32" t="s">
        <v>21</v>
      </c>
      <c r="R28" s="3" t="s">
        <v>22</v>
      </c>
      <c r="S28" s="24">
        <v>0.27050000000000002</v>
      </c>
      <c r="T28" s="24">
        <v>0.24345008336223201</v>
      </c>
      <c r="U28" s="24">
        <f t="shared" si="16"/>
        <v>-2.7049916637768012E-2</v>
      </c>
      <c r="V28" s="25">
        <f t="shared" si="17"/>
        <v>-9.9999691821693201E-2</v>
      </c>
    </row>
    <row r="29" spans="2:22" x14ac:dyDescent="0.35">
      <c r="I29" s="1"/>
      <c r="J29" s="1"/>
      <c r="Q29" s="32"/>
      <c r="R29" s="3" t="s">
        <v>23</v>
      </c>
      <c r="S29" s="24">
        <v>0.21840000000000001</v>
      </c>
      <c r="T29" s="24">
        <v>0.209328350332739</v>
      </c>
      <c r="U29" s="24">
        <f t="shared" si="16"/>
        <v>-9.0716496672610114E-3</v>
      </c>
      <c r="V29" s="25">
        <f t="shared" si="17"/>
        <v>-4.1536857450828801E-2</v>
      </c>
    </row>
    <row r="30" spans="2:22" x14ac:dyDescent="0.35">
      <c r="I30" s="1"/>
      <c r="J30" s="1"/>
      <c r="Q30" s="32"/>
      <c r="R30" s="3" t="s">
        <v>24</v>
      </c>
      <c r="S30" s="24">
        <v>0.1842</v>
      </c>
      <c r="T30" s="24">
        <v>0.20197936991999799</v>
      </c>
      <c r="U30" s="24">
        <f t="shared" si="16"/>
        <v>1.7779369919997984E-2</v>
      </c>
      <c r="V30" s="26">
        <f t="shared" si="17"/>
        <v>9.6522095113995565E-2</v>
      </c>
    </row>
    <row r="31" spans="2:22" x14ac:dyDescent="0.35">
      <c r="I31" s="1"/>
      <c r="J31" s="1"/>
      <c r="Q31" s="32"/>
      <c r="R31" s="3" t="s">
        <v>25</v>
      </c>
      <c r="S31" s="24">
        <v>1.2699999999999999E-2</v>
      </c>
      <c r="T31" s="24">
        <v>1.1492655965038999E-2</v>
      </c>
      <c r="U31" s="24">
        <f t="shared" si="16"/>
        <v>-1.2073440349610002E-3</v>
      </c>
      <c r="V31" s="25">
        <f t="shared" si="17"/>
        <v>-9.5066459445748056E-2</v>
      </c>
    </row>
    <row r="32" spans="2:22" x14ac:dyDescent="0.35">
      <c r="I32" s="1"/>
      <c r="J32" s="1"/>
      <c r="Q32" s="32"/>
      <c r="R32" s="3" t="s">
        <v>26</v>
      </c>
      <c r="S32" s="24">
        <v>0.31419999999999998</v>
      </c>
      <c r="T32" s="24">
        <v>0.33374954042002403</v>
      </c>
      <c r="U32" s="24">
        <f t="shared" si="16"/>
        <v>1.9549540420024047E-2</v>
      </c>
      <c r="V32" s="26">
        <f t="shared" si="17"/>
        <v>6.2220052259783734E-2</v>
      </c>
    </row>
    <row r="33" spans="5:12" x14ac:dyDescent="0.35">
      <c r="I33" s="1"/>
      <c r="J33" s="1"/>
    </row>
    <row r="34" spans="5:12" x14ac:dyDescent="0.35">
      <c r="I34" s="1"/>
      <c r="J34" s="1"/>
    </row>
    <row r="35" spans="5:12" x14ac:dyDescent="0.35">
      <c r="I35" s="2"/>
      <c r="J35" s="2"/>
    </row>
    <row r="38" spans="5:12" x14ac:dyDescent="0.35">
      <c r="E38" s="1"/>
      <c r="F38" s="1"/>
      <c r="G38" s="1"/>
      <c r="H38" s="1"/>
      <c r="I38" s="1"/>
      <c r="J38" s="1"/>
      <c r="K38" s="1"/>
      <c r="L38" s="2"/>
    </row>
    <row r="39" spans="5:12" x14ac:dyDescent="0.35">
      <c r="E39" s="1"/>
      <c r="F39" s="1"/>
      <c r="G39" s="1"/>
      <c r="H39" s="1"/>
      <c r="I39" s="1"/>
      <c r="J39" s="1"/>
      <c r="K39" s="1"/>
      <c r="L39" s="2"/>
    </row>
    <row r="40" spans="5:12" x14ac:dyDescent="0.35">
      <c r="E40" s="1"/>
      <c r="F40" s="1"/>
      <c r="G40" s="1"/>
      <c r="H40" s="1"/>
      <c r="I40" s="1"/>
      <c r="J40" s="1"/>
      <c r="K40" s="1"/>
      <c r="L40" s="2"/>
    </row>
    <row r="41" spans="5:12" x14ac:dyDescent="0.35">
      <c r="E41" s="1"/>
      <c r="F41" s="1"/>
      <c r="G41" s="1"/>
      <c r="H41" s="1"/>
      <c r="I41" s="1"/>
      <c r="J41" s="1"/>
      <c r="K41" s="1"/>
      <c r="L41" s="2"/>
    </row>
  </sheetData>
  <mergeCells count="17">
    <mergeCell ref="Q28:Q32"/>
    <mergeCell ref="Q25:Q27"/>
    <mergeCell ref="U2:W2"/>
    <mergeCell ref="X2:Z2"/>
    <mergeCell ref="S2:T2"/>
    <mergeCell ref="Q4:Q6"/>
    <mergeCell ref="Q7:Q9"/>
    <mergeCell ref="L2:O2"/>
    <mergeCell ref="G2:J2"/>
    <mergeCell ref="B9:B11"/>
    <mergeCell ref="B4:B6"/>
    <mergeCell ref="Q21:Q24"/>
    <mergeCell ref="Q19:V19"/>
    <mergeCell ref="Q10:Q12"/>
    <mergeCell ref="Q13:Q15"/>
    <mergeCell ref="B14:B16"/>
    <mergeCell ref="B19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C1CE-5ACC-450B-B5AD-6020B10E08B5}">
  <dimension ref="B1:AP41"/>
  <sheetViews>
    <sheetView tabSelected="1" topLeftCell="Y1" zoomScale="85" zoomScaleNormal="85" workbookViewId="0">
      <selection activeCell="AI18" sqref="AI18"/>
    </sheetView>
  </sheetViews>
  <sheetFormatPr baseColWidth="10" defaultRowHeight="14.5" x14ac:dyDescent="0.35"/>
  <cols>
    <col min="1" max="1" width="6.7265625" customWidth="1"/>
    <col min="2" max="2" width="13.7265625" customWidth="1"/>
    <col min="3" max="3" width="15.90625" customWidth="1"/>
    <col min="4" max="4" width="12.453125" bestFit="1" customWidth="1"/>
    <col min="6" max="6" width="8.1796875" customWidth="1"/>
    <col min="11" max="11" width="9.26953125" customWidth="1"/>
    <col min="17" max="17" width="17.26953125" bestFit="1" customWidth="1"/>
    <col min="18" max="18" width="17.36328125" bestFit="1" customWidth="1"/>
    <col min="28" max="28" width="14.1796875" customWidth="1"/>
    <col min="29" max="29" width="12.7265625" bestFit="1" customWidth="1"/>
    <col min="30" max="30" width="8.81640625" bestFit="1" customWidth="1"/>
    <col min="31" max="34" width="11.36328125" bestFit="1" customWidth="1"/>
    <col min="35" max="42" width="9.453125" bestFit="1" customWidth="1"/>
  </cols>
  <sheetData>
    <row r="1" spans="2:42" ht="15" thickBot="1" x14ac:dyDescent="0.4"/>
    <row r="2" spans="2:42" x14ac:dyDescent="0.35">
      <c r="G2" s="30" t="s">
        <v>0</v>
      </c>
      <c r="H2" s="30"/>
      <c r="I2" s="30"/>
      <c r="J2" s="30"/>
      <c r="K2" s="10"/>
      <c r="L2" s="30" t="s">
        <v>1</v>
      </c>
      <c r="M2" s="30"/>
      <c r="N2" s="30"/>
      <c r="O2" s="30"/>
      <c r="Q2" t="s">
        <v>38</v>
      </c>
      <c r="S2" s="40" t="s">
        <v>35</v>
      </c>
      <c r="T2" s="40"/>
      <c r="U2" s="37" t="s">
        <v>33</v>
      </c>
      <c r="V2" s="38"/>
      <c r="W2" s="39"/>
      <c r="X2" s="37" t="s">
        <v>34</v>
      </c>
      <c r="Y2" s="38"/>
      <c r="Z2" s="39"/>
      <c r="AE2" s="45" t="s">
        <v>40</v>
      </c>
      <c r="AF2" s="46"/>
      <c r="AG2" s="46"/>
      <c r="AH2" s="47"/>
      <c r="AI2" s="58" t="s">
        <v>3</v>
      </c>
      <c r="AJ2" s="59"/>
      <c r="AK2" s="59"/>
      <c r="AL2" s="60"/>
      <c r="AM2" s="45" t="s">
        <v>29</v>
      </c>
      <c r="AN2" s="46"/>
      <c r="AO2" s="46"/>
      <c r="AP2" s="47"/>
    </row>
    <row r="3" spans="2:42" ht="29" x14ac:dyDescent="0.35">
      <c r="B3" s="7" t="s">
        <v>5</v>
      </c>
      <c r="C3" s="7" t="s">
        <v>9</v>
      </c>
      <c r="D3" s="7" t="s">
        <v>10</v>
      </c>
      <c r="E3" s="7" t="s">
        <v>11</v>
      </c>
      <c r="G3" s="7" t="s">
        <v>10</v>
      </c>
      <c r="H3" s="7" t="s">
        <v>11</v>
      </c>
      <c r="I3" s="7" t="s">
        <v>3</v>
      </c>
      <c r="J3" s="7" t="s">
        <v>29</v>
      </c>
      <c r="K3" s="11"/>
      <c r="L3" s="7" t="s">
        <v>10</v>
      </c>
      <c r="M3" s="6" t="s">
        <v>11</v>
      </c>
      <c r="N3" s="9" t="s">
        <v>3</v>
      </c>
      <c r="O3" s="7" t="s">
        <v>29</v>
      </c>
      <c r="Q3" s="7" t="s">
        <v>5</v>
      </c>
      <c r="R3" s="7" t="s">
        <v>9</v>
      </c>
      <c r="S3" s="7" t="s">
        <v>10</v>
      </c>
      <c r="T3" s="7" t="s">
        <v>11</v>
      </c>
      <c r="U3" s="7" t="s">
        <v>11</v>
      </c>
      <c r="V3" s="7" t="s">
        <v>3</v>
      </c>
      <c r="W3" s="7" t="s">
        <v>29</v>
      </c>
      <c r="X3" s="6" t="s">
        <v>11</v>
      </c>
      <c r="Y3" s="9" t="s">
        <v>3</v>
      </c>
      <c r="Z3" s="7" t="s">
        <v>29</v>
      </c>
      <c r="AB3" s="21" t="s">
        <v>27</v>
      </c>
      <c r="AC3" s="21" t="s">
        <v>28</v>
      </c>
      <c r="AD3" s="44" t="s">
        <v>2</v>
      </c>
      <c r="AE3" s="48" t="s">
        <v>41</v>
      </c>
      <c r="AF3" s="21" t="s">
        <v>42</v>
      </c>
      <c r="AG3" s="21" t="s">
        <v>43</v>
      </c>
      <c r="AH3" s="49" t="s">
        <v>44</v>
      </c>
      <c r="AI3" s="48" t="s">
        <v>41</v>
      </c>
      <c r="AJ3" s="21" t="s">
        <v>42</v>
      </c>
      <c r="AK3" s="21" t="s">
        <v>43</v>
      </c>
      <c r="AL3" s="49" t="s">
        <v>44</v>
      </c>
      <c r="AM3" s="48" t="s">
        <v>41</v>
      </c>
      <c r="AN3" s="21" t="s">
        <v>42</v>
      </c>
      <c r="AO3" s="21" t="s">
        <v>43</v>
      </c>
      <c r="AP3" s="49" t="s">
        <v>44</v>
      </c>
    </row>
    <row r="4" spans="2:42" ht="29" x14ac:dyDescent="0.35">
      <c r="B4" s="31" t="s">
        <v>6</v>
      </c>
      <c r="C4" s="4" t="s">
        <v>7</v>
      </c>
      <c r="D4" s="5">
        <v>522.08093344594397</v>
      </c>
      <c r="E4" s="5">
        <v>608.99379510491599</v>
      </c>
      <c r="G4" s="3">
        <v>522.08118046133404</v>
      </c>
      <c r="H4" s="3">
        <v>553.40425866386397</v>
      </c>
      <c r="I4" s="15">
        <f>H4-E4</f>
        <v>-55.589536441052019</v>
      </c>
      <c r="J4" s="16">
        <f>I4/E4</f>
        <v>-9.1280957027608439E-2</v>
      </c>
      <c r="K4" s="12"/>
      <c r="L4" s="3">
        <v>522.08063670541196</v>
      </c>
      <c r="M4" s="3">
        <v>582.39114751327804</v>
      </c>
      <c r="N4" s="8">
        <f>M4-E4</f>
        <v>-26.602647591637947</v>
      </c>
      <c r="O4" s="13">
        <f>N4/E4</f>
        <v>-4.3682953431495808E-2</v>
      </c>
      <c r="Q4" s="34" t="s">
        <v>6</v>
      </c>
      <c r="R4" s="20" t="s">
        <v>36</v>
      </c>
      <c r="S4" s="5">
        <v>522.08093344594397</v>
      </c>
      <c r="T4" s="5">
        <v>608.99379510491599</v>
      </c>
      <c r="U4" s="3">
        <v>553.40425866386397</v>
      </c>
      <c r="V4" s="15">
        <f t="shared" ref="V4:V15" si="0">U4-T4</f>
        <v>-55.589536441052019</v>
      </c>
      <c r="W4" s="16">
        <f t="shared" ref="W4:W15" si="1">V4/T4</f>
        <v>-9.1280957027608439E-2</v>
      </c>
      <c r="X4" s="3">
        <v>582.39114751327804</v>
      </c>
      <c r="Y4" s="8">
        <f t="shared" ref="Y4:Y15" si="2">X4-T4</f>
        <v>-26.602647591637947</v>
      </c>
      <c r="Z4" s="13">
        <f t="shared" ref="Z4:Z15" si="3">Y4/T4</f>
        <v>-4.3682953431495808E-2</v>
      </c>
      <c r="AB4" s="41" t="s">
        <v>12</v>
      </c>
      <c r="AC4" s="23" t="s">
        <v>13</v>
      </c>
      <c r="AD4" s="66">
        <v>0.3841</v>
      </c>
      <c r="AE4" s="67">
        <v>0.36489500061045399</v>
      </c>
      <c r="AF4" s="23">
        <v>0.34665025135338801</v>
      </c>
      <c r="AG4" s="23">
        <v>0.363982763891254</v>
      </c>
      <c r="AH4" s="68">
        <v>0.38218190204816399</v>
      </c>
      <c r="AI4" s="61">
        <f>AE4-AD4</f>
        <v>-1.9204999389546007E-2</v>
      </c>
      <c r="AJ4" s="27">
        <f t="shared" ref="AJ4:AL15" si="4">AF4-AE4</f>
        <v>-1.8244749257065984E-2</v>
      </c>
      <c r="AK4" s="27">
        <f t="shared" si="4"/>
        <v>1.7332512537865996E-2</v>
      </c>
      <c r="AL4" s="62">
        <f t="shared" si="4"/>
        <v>1.8199138156909989E-2</v>
      </c>
      <c r="AM4" s="50">
        <f>AI4/AD4</f>
        <v>-4.9999998410689944E-2</v>
      </c>
      <c r="AN4" s="28">
        <f t="shared" ref="AN4:AP15" si="5">AJ4/AE4</f>
        <v>-4.9999997880330743E-2</v>
      </c>
      <c r="AO4" s="29">
        <f t="shared" si="5"/>
        <v>4.9999999914024568E-2</v>
      </c>
      <c r="AP4" s="51">
        <f t="shared" si="5"/>
        <v>4.9999999896553585E-2</v>
      </c>
    </row>
    <row r="5" spans="2:42" x14ac:dyDescent="0.35">
      <c r="B5" s="31"/>
      <c r="C5" s="4" t="s">
        <v>8</v>
      </c>
      <c r="D5" s="5">
        <v>0.92414368538749303</v>
      </c>
      <c r="E5" s="5">
        <v>1.0946367702961699</v>
      </c>
      <c r="G5" s="3">
        <v>0.92091294959199199</v>
      </c>
      <c r="H5" s="3">
        <v>0.84127931648757404</v>
      </c>
      <c r="I5" s="15">
        <f t="shared" ref="I5:I6" si="6">H5-E5</f>
        <v>-0.25335745380859587</v>
      </c>
      <c r="J5" s="16">
        <f t="shared" ref="J5:J6" si="7">I5/E5</f>
        <v>-0.23145344710103821</v>
      </c>
      <c r="K5" s="12"/>
      <c r="L5" s="3">
        <v>0.90931386759812405</v>
      </c>
      <c r="M5" s="3">
        <v>0.78365646056263405</v>
      </c>
      <c r="N5" s="15">
        <f>M5-E5</f>
        <v>-0.31098030973353585</v>
      </c>
      <c r="O5" s="14">
        <f t="shared" ref="O5:O6" si="8">N5/E5</f>
        <v>-0.28409452173746697</v>
      </c>
      <c r="Q5" s="35"/>
      <c r="R5" s="20" t="s">
        <v>39</v>
      </c>
      <c r="S5" s="5">
        <v>0.92414368538749303</v>
      </c>
      <c r="T5" s="5">
        <v>1.0946367702961699</v>
      </c>
      <c r="U5" s="3">
        <v>0.84127931648757404</v>
      </c>
      <c r="V5" s="15">
        <f t="shared" si="0"/>
        <v>-0.25335745380859587</v>
      </c>
      <c r="W5" s="16">
        <f t="shared" si="1"/>
        <v>-0.23145344710103821</v>
      </c>
      <c r="X5" s="3">
        <v>0.78365646056263405</v>
      </c>
      <c r="Y5" s="15">
        <f t="shared" si="2"/>
        <v>-0.31098030973353585</v>
      </c>
      <c r="Z5" s="14">
        <f t="shared" si="3"/>
        <v>-0.28409452173746697</v>
      </c>
      <c r="AB5" s="42"/>
      <c r="AC5" s="23" t="s">
        <v>14</v>
      </c>
      <c r="AD5" s="66">
        <v>0.2462</v>
      </c>
      <c r="AE5" s="67">
        <v>0.25123162755324102</v>
      </c>
      <c r="AF5" s="23">
        <v>0.255739456289166</v>
      </c>
      <c r="AG5" s="23">
        <v>0.24295248983544199</v>
      </c>
      <c r="AH5" s="68">
        <v>0.230804877485526</v>
      </c>
      <c r="AI5" s="61">
        <f t="shared" ref="AI5:AI15" si="9">AE5-AD5</f>
        <v>5.0316275532410193E-3</v>
      </c>
      <c r="AJ5" s="27">
        <f t="shared" si="4"/>
        <v>4.5078287359249791E-3</v>
      </c>
      <c r="AK5" s="27">
        <f t="shared" si="4"/>
        <v>-1.2786966453724014E-2</v>
      </c>
      <c r="AL5" s="62">
        <f t="shared" si="4"/>
        <v>-1.2147612349915987E-2</v>
      </c>
      <c r="AM5" s="52">
        <f t="shared" ref="AM5:AM15" si="10">AI5/AD5</f>
        <v>2.0437154968485048E-2</v>
      </c>
      <c r="AN5" s="29">
        <f t="shared" si="5"/>
        <v>1.7942918970143121E-2</v>
      </c>
      <c r="AO5" s="28">
        <f t="shared" si="5"/>
        <v>-4.9999975128068315E-2</v>
      </c>
      <c r="AP5" s="53">
        <f t="shared" si="5"/>
        <v>-4.9999950023742828E-2</v>
      </c>
    </row>
    <row r="6" spans="2:42" x14ac:dyDescent="0.35">
      <c r="B6" s="31"/>
      <c r="C6" s="4" t="s">
        <v>4</v>
      </c>
      <c r="D6" s="5">
        <v>0.99129999999999996</v>
      </c>
      <c r="E6" s="5">
        <v>1.88221052848274</v>
      </c>
      <c r="G6" s="3">
        <v>0.991268880532444</v>
      </c>
      <c r="H6" s="3">
        <v>1.26297856288091</v>
      </c>
      <c r="I6" s="15">
        <f t="shared" si="6"/>
        <v>-0.61923196560182991</v>
      </c>
      <c r="J6" s="16">
        <f t="shared" si="7"/>
        <v>-0.32899187217967385</v>
      </c>
      <c r="K6" s="12"/>
      <c r="L6" s="3">
        <v>0.99126515639276203</v>
      </c>
      <c r="M6" s="3">
        <v>1.5697716050446999</v>
      </c>
      <c r="N6" s="8">
        <f>M6-E6</f>
        <v>-0.31243892343804003</v>
      </c>
      <c r="O6" s="13">
        <f t="shared" si="8"/>
        <v>-0.16599573677334528</v>
      </c>
      <c r="Q6" s="36"/>
      <c r="R6" s="20" t="s">
        <v>37</v>
      </c>
      <c r="S6" s="5">
        <v>0.99129999999999996</v>
      </c>
      <c r="T6" s="5">
        <v>1.88221052848274</v>
      </c>
      <c r="U6" s="3">
        <v>1.26297856288091</v>
      </c>
      <c r="V6" s="15">
        <f t="shared" si="0"/>
        <v>-0.61923196560182991</v>
      </c>
      <c r="W6" s="16">
        <f t="shared" si="1"/>
        <v>-0.32899187217967385</v>
      </c>
      <c r="X6" s="3">
        <v>1.5697716050446999</v>
      </c>
      <c r="Y6" s="8">
        <f t="shared" si="2"/>
        <v>-0.31243892343804003</v>
      </c>
      <c r="Z6" s="13">
        <f t="shared" si="3"/>
        <v>-0.16599573677334528</v>
      </c>
      <c r="AB6" s="42"/>
      <c r="AC6" s="23" t="s">
        <v>15</v>
      </c>
      <c r="AD6" s="66">
        <v>0.29780000000000001</v>
      </c>
      <c r="AE6" s="67">
        <v>0.31268999692211302</v>
      </c>
      <c r="AF6" s="23">
        <v>0.32832449243109202</v>
      </c>
      <c r="AG6" s="23">
        <v>0.32031465635109202</v>
      </c>
      <c r="AH6" s="68">
        <v>0.31062562604857202</v>
      </c>
      <c r="AI6" s="61">
        <f t="shared" si="9"/>
        <v>1.4889996922113014E-2</v>
      </c>
      <c r="AJ6" s="27">
        <f t="shared" si="4"/>
        <v>1.5634495508978996E-2</v>
      </c>
      <c r="AK6" s="27">
        <f t="shared" si="4"/>
        <v>-8.009836079999999E-3</v>
      </c>
      <c r="AL6" s="62">
        <f t="shared" si="4"/>
        <v>-9.6890303025199964E-3</v>
      </c>
      <c r="AM6" s="52">
        <f t="shared" si="10"/>
        <v>4.9999989664583654E-2</v>
      </c>
      <c r="AN6" s="29">
        <f t="shared" si="5"/>
        <v>4.9999986129627756E-2</v>
      </c>
      <c r="AO6" s="28">
        <f t="shared" si="5"/>
        <v>-2.4396096741643742E-2</v>
      </c>
      <c r="AP6" s="53">
        <f t="shared" si="5"/>
        <v>-3.0248476335406886E-2</v>
      </c>
    </row>
    <row r="7" spans="2:42" x14ac:dyDescent="0.35">
      <c r="Q7" s="34" t="s">
        <v>30</v>
      </c>
      <c r="R7" s="20" t="s">
        <v>36</v>
      </c>
      <c r="S7" s="5">
        <v>522.08093344594397</v>
      </c>
      <c r="T7" s="5">
        <v>608.99379510491599</v>
      </c>
      <c r="U7" s="3">
        <v>553.40419602329303</v>
      </c>
      <c r="V7" s="15">
        <f t="shared" si="0"/>
        <v>-55.589599081622964</v>
      </c>
      <c r="W7" s="16">
        <f t="shared" si="1"/>
        <v>-9.1281059886736807E-2</v>
      </c>
      <c r="X7" s="17">
        <v>582.392455893121</v>
      </c>
      <c r="Y7" s="18">
        <f t="shared" si="2"/>
        <v>-26.601339211794993</v>
      </c>
      <c r="Z7" s="19">
        <f t="shared" si="3"/>
        <v>-4.3680805002639114E-2</v>
      </c>
      <c r="AB7" s="43"/>
      <c r="AC7" s="23" t="s">
        <v>16</v>
      </c>
      <c r="AD7" s="66">
        <v>7.1900000000000006E-2</v>
      </c>
      <c r="AE7" s="67">
        <v>7.1183374914191799E-2</v>
      </c>
      <c r="AF7" s="23">
        <v>6.9285799926353794E-2</v>
      </c>
      <c r="AG7" s="23">
        <v>7.2750089922212796E-2</v>
      </c>
      <c r="AH7" s="68">
        <v>7.6387594417737695E-2</v>
      </c>
      <c r="AI7" s="61">
        <f t="shared" si="9"/>
        <v>-7.1662508580820627E-4</v>
      </c>
      <c r="AJ7" s="27">
        <f t="shared" si="4"/>
        <v>-1.8975749878380049E-3</v>
      </c>
      <c r="AK7" s="27">
        <f t="shared" si="4"/>
        <v>3.4642899958590018E-3</v>
      </c>
      <c r="AL7" s="62">
        <f t="shared" si="4"/>
        <v>3.6375044955248986E-3</v>
      </c>
      <c r="AM7" s="50">
        <f t="shared" si="10"/>
        <v>-9.9669692045647601E-3</v>
      </c>
      <c r="AN7" s="28">
        <f t="shared" si="5"/>
        <v>-2.6657558596026698E-2</v>
      </c>
      <c r="AO7" s="29">
        <f t="shared" si="5"/>
        <v>4.9999999993379771E-2</v>
      </c>
      <c r="AP7" s="51">
        <f t="shared" si="5"/>
        <v>4.9999999991948582E-2</v>
      </c>
    </row>
    <row r="8" spans="2:42" ht="14.5" customHeight="1" x14ac:dyDescent="0.35">
      <c r="B8" s="7" t="s">
        <v>5</v>
      </c>
      <c r="C8" s="7" t="s">
        <v>9</v>
      </c>
      <c r="D8" s="7" t="s">
        <v>10</v>
      </c>
      <c r="E8" s="7" t="s">
        <v>11</v>
      </c>
      <c r="G8" s="7" t="s">
        <v>10</v>
      </c>
      <c r="H8" s="7" t="s">
        <v>11</v>
      </c>
      <c r="I8" s="7" t="s">
        <v>3</v>
      </c>
      <c r="J8" s="7" t="s">
        <v>29</v>
      </c>
      <c r="K8" s="11"/>
      <c r="L8" s="7" t="s">
        <v>10</v>
      </c>
      <c r="M8" s="7" t="s">
        <v>11</v>
      </c>
      <c r="N8" s="7" t="s">
        <v>3</v>
      </c>
      <c r="O8" s="7" t="s">
        <v>29</v>
      </c>
      <c r="Q8" s="35"/>
      <c r="R8" s="20" t="s">
        <v>39</v>
      </c>
      <c r="S8" s="5">
        <v>0.92414368538749303</v>
      </c>
      <c r="T8" s="5">
        <v>1.0946367702961699</v>
      </c>
      <c r="U8" s="3">
        <v>0.84127803406475499</v>
      </c>
      <c r="V8" s="15">
        <f t="shared" si="0"/>
        <v>-0.25335873623141492</v>
      </c>
      <c r="W8" s="16">
        <f t="shared" si="1"/>
        <v>-0.23145461865205297</v>
      </c>
      <c r="X8" s="17">
        <v>0.78406586716558402</v>
      </c>
      <c r="Y8" s="18">
        <f t="shared" si="2"/>
        <v>-0.31057090313058588</v>
      </c>
      <c r="Z8" s="19">
        <f t="shared" si="3"/>
        <v>-0.28372051036304619</v>
      </c>
      <c r="AB8" s="41" t="s">
        <v>17</v>
      </c>
      <c r="AC8" s="23" t="s">
        <v>18</v>
      </c>
      <c r="AD8" s="66">
        <v>7.1400000000000005E-2</v>
      </c>
      <c r="AE8" s="67">
        <v>6.7830000045272898E-2</v>
      </c>
      <c r="AF8" s="23">
        <v>6.4438500100642504E-2</v>
      </c>
      <c r="AG8" s="23">
        <v>6.7660425097869001E-2</v>
      </c>
      <c r="AH8" s="68">
        <v>7.1043446343104596E-2</v>
      </c>
      <c r="AI8" s="61">
        <f t="shared" si="9"/>
        <v>-3.5699999547271072E-3</v>
      </c>
      <c r="AJ8" s="27">
        <f t="shared" si="4"/>
        <v>-3.3914999446303939E-3</v>
      </c>
      <c r="AK8" s="27">
        <f t="shared" si="4"/>
        <v>3.2219249972264968E-3</v>
      </c>
      <c r="AL8" s="62">
        <f t="shared" si="4"/>
        <v>3.3830212452355957E-3</v>
      </c>
      <c r="AM8" s="50">
        <f t="shared" si="10"/>
        <v>-4.9999999365925869E-2</v>
      </c>
      <c r="AN8" s="28">
        <f t="shared" si="5"/>
        <v>-4.999999915032801E-2</v>
      </c>
      <c r="AO8" s="29">
        <f t="shared" si="5"/>
        <v>4.999999987886701E-2</v>
      </c>
      <c r="AP8" s="51">
        <f t="shared" si="5"/>
        <v>4.9999999857259919E-2</v>
      </c>
    </row>
    <row r="9" spans="2:42" ht="14.5" customHeight="1" x14ac:dyDescent="0.35">
      <c r="B9" s="31" t="s">
        <v>30</v>
      </c>
      <c r="C9" s="4" t="s">
        <v>7</v>
      </c>
      <c r="D9" s="5">
        <v>522.08093344594397</v>
      </c>
      <c r="E9" s="5">
        <v>608.99379510491599</v>
      </c>
      <c r="G9" s="3">
        <v>522.08118018982896</v>
      </c>
      <c r="H9" s="3">
        <v>553.40419602329303</v>
      </c>
      <c r="I9" s="15">
        <f>H9-E9</f>
        <v>-55.589599081622964</v>
      </c>
      <c r="J9" s="16">
        <f>I9/E9</f>
        <v>-9.1281059886736807E-2</v>
      </c>
      <c r="K9" s="12"/>
      <c r="L9" s="17">
        <v>522.08063968860404</v>
      </c>
      <c r="M9" s="17">
        <v>582.392455893121</v>
      </c>
      <c r="N9" s="18">
        <f>M9-E9</f>
        <v>-26.601339211794993</v>
      </c>
      <c r="O9" s="19">
        <f>N9/E9</f>
        <v>-4.3680805002639114E-2</v>
      </c>
      <c r="Q9" s="36"/>
      <c r="R9" s="20" t="s">
        <v>37</v>
      </c>
      <c r="S9" s="5">
        <v>0.99129999999999996</v>
      </c>
      <c r="T9" s="5">
        <v>1.88221052848274</v>
      </c>
      <c r="U9" s="3">
        <v>1.26297792458103</v>
      </c>
      <c r="V9" s="15">
        <f t="shared" si="0"/>
        <v>-0.61923260390170998</v>
      </c>
      <c r="W9" s="16">
        <f t="shared" si="1"/>
        <v>-0.32899221130214201</v>
      </c>
      <c r="X9" s="17">
        <v>1.56978625465236</v>
      </c>
      <c r="Y9" s="18">
        <f t="shared" si="2"/>
        <v>-0.31242427383037996</v>
      </c>
      <c r="Z9" s="19">
        <f t="shared" si="3"/>
        <v>-0.16598795358042484</v>
      </c>
      <c r="AB9" s="42"/>
      <c r="AC9" s="23" t="s">
        <v>19</v>
      </c>
      <c r="AD9" s="66">
        <v>0.91259999999999997</v>
      </c>
      <c r="AE9" s="67">
        <v>0.91696999989461403</v>
      </c>
      <c r="AF9" s="23">
        <v>0.921121499765715</v>
      </c>
      <c r="AG9" s="23">
        <v>0.91717757476588901</v>
      </c>
      <c r="AH9" s="68">
        <v>0.91303645351898999</v>
      </c>
      <c r="AI9" s="61">
        <f t="shared" si="9"/>
        <v>4.3699998946140628E-3</v>
      </c>
      <c r="AJ9" s="27">
        <f t="shared" si="4"/>
        <v>4.1514998711009721E-3</v>
      </c>
      <c r="AK9" s="27">
        <f t="shared" si="4"/>
        <v>-3.9439249998259873E-3</v>
      </c>
      <c r="AL9" s="62">
        <f t="shared" si="4"/>
        <v>-4.1411212468990266E-3</v>
      </c>
      <c r="AM9" s="52">
        <f t="shared" si="10"/>
        <v>4.7885162114990826E-3</v>
      </c>
      <c r="AN9" s="29">
        <f t="shared" si="5"/>
        <v>4.5274107894239697E-3</v>
      </c>
      <c r="AO9" s="28">
        <f t="shared" si="5"/>
        <v>-4.2816555696823001E-3</v>
      </c>
      <c r="AP9" s="53">
        <f t="shared" si="5"/>
        <v>-4.5150703209856109E-3</v>
      </c>
    </row>
    <row r="10" spans="2:42" ht="14.5" customHeight="1" x14ac:dyDescent="0.35">
      <c r="B10" s="31"/>
      <c r="C10" s="4" t="s">
        <v>8</v>
      </c>
      <c r="D10" s="5">
        <v>0.92414368538749303</v>
      </c>
      <c r="E10" s="5">
        <v>1.0946367702961699</v>
      </c>
      <c r="G10" s="3">
        <v>0.92090784148900295</v>
      </c>
      <c r="H10" s="3">
        <v>0.84127803406475499</v>
      </c>
      <c r="I10" s="15">
        <f t="shared" ref="I10:I11" si="11">H10-E10</f>
        <v>-0.25335873623141492</v>
      </c>
      <c r="J10" s="16">
        <f t="shared" ref="J10:J11" si="12">I10/E10</f>
        <v>-0.23145461865205297</v>
      </c>
      <c r="K10" s="12"/>
      <c r="L10" s="17">
        <v>0.90940341118873802</v>
      </c>
      <c r="M10" s="17">
        <v>0.78406586716558402</v>
      </c>
      <c r="N10" s="18">
        <f>M10-E10</f>
        <v>-0.31057090313058588</v>
      </c>
      <c r="O10" s="19">
        <f t="shared" ref="O10:O11" si="13">N10/E10</f>
        <v>-0.28372051036304619</v>
      </c>
      <c r="Q10" s="34" t="s">
        <v>32</v>
      </c>
      <c r="R10" s="20" t="s">
        <v>36</v>
      </c>
      <c r="S10" s="5">
        <v>522.08093344594397</v>
      </c>
      <c r="T10" s="5">
        <v>608.99379510491599</v>
      </c>
      <c r="U10" s="3">
        <v>588.84913779418503</v>
      </c>
      <c r="V10" s="15">
        <f t="shared" si="0"/>
        <v>-20.144657310730963</v>
      </c>
      <c r="W10" s="16">
        <f t="shared" si="1"/>
        <v>-3.3078592052420648E-2</v>
      </c>
      <c r="X10" s="3">
        <v>588.80326007817098</v>
      </c>
      <c r="Y10" s="15">
        <f t="shared" si="2"/>
        <v>-20.19053502674501</v>
      </c>
      <c r="Z10" s="14">
        <f t="shared" si="3"/>
        <v>-3.3153925686987717E-2</v>
      </c>
      <c r="AB10" s="43"/>
      <c r="AC10" s="23" t="s">
        <v>20</v>
      </c>
      <c r="AD10" s="66">
        <v>1.6E-2</v>
      </c>
      <c r="AE10" s="67">
        <v>1.52000000601136E-2</v>
      </c>
      <c r="AF10" s="23">
        <v>1.44400001336429E-2</v>
      </c>
      <c r="AG10" s="23">
        <v>1.51620001362419E-2</v>
      </c>
      <c r="AH10" s="68">
        <v>1.5920100137905201E-2</v>
      </c>
      <c r="AI10" s="61">
        <f t="shared" si="9"/>
        <v>-7.999999398864005E-4</v>
      </c>
      <c r="AJ10" s="27">
        <f t="shared" si="4"/>
        <v>-7.5999992647069955E-4</v>
      </c>
      <c r="AK10" s="27">
        <f t="shared" si="4"/>
        <v>7.2200000259899956E-4</v>
      </c>
      <c r="AL10" s="62">
        <f t="shared" si="4"/>
        <v>7.5810000166330084E-4</v>
      </c>
      <c r="AM10" s="50">
        <f t="shared" si="10"/>
        <v>-4.9999996242900031E-2</v>
      </c>
      <c r="AN10" s="28">
        <f t="shared" si="5"/>
        <v>-4.9999994964803937E-2</v>
      </c>
      <c r="AO10" s="29">
        <f t="shared" si="5"/>
        <v>4.9999999717233699E-2</v>
      </c>
      <c r="AP10" s="51">
        <f t="shared" si="5"/>
        <v>4.999999966041458E-2</v>
      </c>
    </row>
    <row r="11" spans="2:42" ht="14.5" customHeight="1" x14ac:dyDescent="0.35">
      <c r="B11" s="31"/>
      <c r="C11" s="4" t="s">
        <v>4</v>
      </c>
      <c r="D11" s="5">
        <v>0.99129999999999996</v>
      </c>
      <c r="E11" s="5">
        <v>1.88221052848274</v>
      </c>
      <c r="G11" s="3">
        <v>0.99126887870460001</v>
      </c>
      <c r="H11" s="3">
        <v>1.26297792458103</v>
      </c>
      <c r="I11" s="15">
        <f t="shared" si="11"/>
        <v>-0.61923260390170998</v>
      </c>
      <c r="J11" s="16">
        <f t="shared" si="12"/>
        <v>-0.32899221130214201</v>
      </c>
      <c r="K11" s="12"/>
      <c r="L11" s="17">
        <v>0.99126517785507895</v>
      </c>
      <c r="M11" s="17">
        <v>1.56978625465236</v>
      </c>
      <c r="N11" s="18">
        <f>M11-E11</f>
        <v>-0.31242427383037996</v>
      </c>
      <c r="O11" s="19">
        <f t="shared" si="13"/>
        <v>-0.16598795358042484</v>
      </c>
      <c r="Q11" s="35"/>
      <c r="R11" s="20" t="s">
        <v>39</v>
      </c>
      <c r="S11" s="5">
        <v>0.92414368538749303</v>
      </c>
      <c r="T11" s="5">
        <v>1.0946367702961699</v>
      </c>
      <c r="U11" s="3">
        <v>0.93414754186889504</v>
      </c>
      <c r="V11" s="15">
        <f t="shared" si="0"/>
        <v>-0.16048922842727487</v>
      </c>
      <c r="W11" s="16">
        <f t="shared" si="1"/>
        <v>-0.1466141397605821</v>
      </c>
      <c r="X11" s="3">
        <v>0.87738865266777799</v>
      </c>
      <c r="Y11" s="15">
        <f t="shared" si="2"/>
        <v>-0.21724811762839191</v>
      </c>
      <c r="Z11" s="14">
        <f t="shared" si="3"/>
        <v>-0.19846594187550659</v>
      </c>
      <c r="AB11" s="41" t="s">
        <v>21</v>
      </c>
      <c r="AC11" s="23" t="s">
        <v>22</v>
      </c>
      <c r="AD11" s="66">
        <v>0.27050000000000002</v>
      </c>
      <c r="AE11" s="67">
        <v>0.28402499990569402</v>
      </c>
      <c r="AF11" s="23">
        <v>0.29822624980297402</v>
      </c>
      <c r="AG11" s="23">
        <v>0.28331493733167101</v>
      </c>
      <c r="AH11" s="68">
        <v>0.26914919048511199</v>
      </c>
      <c r="AI11" s="61">
        <f t="shared" si="9"/>
        <v>1.3524999905694002E-2</v>
      </c>
      <c r="AJ11" s="27">
        <f t="shared" si="4"/>
        <v>1.4201249897279999E-2</v>
      </c>
      <c r="AK11" s="27">
        <f t="shared" si="4"/>
        <v>-1.4911312471303007E-2</v>
      </c>
      <c r="AL11" s="62">
        <f t="shared" si="4"/>
        <v>-1.4165746846559024E-2</v>
      </c>
      <c r="AM11" s="52">
        <f t="shared" si="10"/>
        <v>4.9999999651364146E-2</v>
      </c>
      <c r="AN11" s="29">
        <f t="shared" si="5"/>
        <v>4.9999999654943394E-2</v>
      </c>
      <c r="AO11" s="28">
        <f t="shared" si="5"/>
        <v>-4.9999999936807392E-2</v>
      </c>
      <c r="AP11" s="53">
        <f t="shared" si="5"/>
        <v>-4.999999992932061E-2</v>
      </c>
    </row>
    <row r="12" spans="2:42" x14ac:dyDescent="0.35">
      <c r="Q12" s="36"/>
      <c r="R12" s="20" t="s">
        <v>37</v>
      </c>
      <c r="S12" s="5">
        <v>0.99129999999999996</v>
      </c>
      <c r="T12" s="5">
        <v>1.88221052848274</v>
      </c>
      <c r="U12" s="3">
        <v>1.6426014865415299</v>
      </c>
      <c r="V12" s="15">
        <f t="shared" si="0"/>
        <v>-0.23960904194121002</v>
      </c>
      <c r="W12" s="16">
        <f t="shared" si="1"/>
        <v>-0.12730193478110027</v>
      </c>
      <c r="X12" s="3">
        <v>1.64208393854519</v>
      </c>
      <c r="Y12" s="15">
        <f t="shared" si="2"/>
        <v>-0.24012658993754998</v>
      </c>
      <c r="Z12" s="14">
        <f t="shared" si="3"/>
        <v>-0.12757690295735266</v>
      </c>
      <c r="AB12" s="42"/>
      <c r="AC12" s="23" t="s">
        <v>23</v>
      </c>
      <c r="AD12" s="66">
        <v>0.21840000000000001</v>
      </c>
      <c r="AE12" s="67">
        <v>0.20748000770518099</v>
      </c>
      <c r="AF12" s="23">
        <v>0.19710601715526099</v>
      </c>
      <c r="AG12" s="23">
        <v>0.20696131798831899</v>
      </c>
      <c r="AH12" s="68">
        <v>0.217309383850945</v>
      </c>
      <c r="AI12" s="61">
        <f t="shared" si="9"/>
        <v>-1.091999229481902E-2</v>
      </c>
      <c r="AJ12" s="27">
        <f t="shared" si="4"/>
        <v>-1.0373990549919998E-2</v>
      </c>
      <c r="AK12" s="27">
        <f t="shared" si="4"/>
        <v>9.855300833057995E-3</v>
      </c>
      <c r="AL12" s="62">
        <f t="shared" si="4"/>
        <v>1.0348065862626016E-2</v>
      </c>
      <c r="AM12" s="50">
        <f t="shared" si="10"/>
        <v>-4.9999964719867306E-2</v>
      </c>
      <c r="AN12" s="28">
        <f t="shared" si="5"/>
        <v>-4.9999952596208375E-2</v>
      </c>
      <c r="AO12" s="29">
        <f t="shared" si="5"/>
        <v>4.9999999874661083E-2</v>
      </c>
      <c r="AP12" s="51">
        <f t="shared" si="5"/>
        <v>4.9999999822237635E-2</v>
      </c>
    </row>
    <row r="13" spans="2:42" ht="14.5" customHeight="1" x14ac:dyDescent="0.35">
      <c r="B13" s="7" t="s">
        <v>5</v>
      </c>
      <c r="C13" s="7" t="s">
        <v>9</v>
      </c>
      <c r="D13" s="7" t="s">
        <v>10</v>
      </c>
      <c r="E13" s="7" t="s">
        <v>11</v>
      </c>
      <c r="G13" s="7" t="s">
        <v>10</v>
      </c>
      <c r="H13" s="7" t="s">
        <v>11</v>
      </c>
      <c r="I13" s="7" t="s">
        <v>3</v>
      </c>
      <c r="J13" s="7" t="s">
        <v>29</v>
      </c>
      <c r="K13" s="11"/>
      <c r="L13" s="7" t="s">
        <v>10</v>
      </c>
      <c r="M13" s="7" t="s">
        <v>11</v>
      </c>
      <c r="N13" s="7" t="s">
        <v>3</v>
      </c>
      <c r="O13" s="7" t="s">
        <v>29</v>
      </c>
      <c r="Q13" s="34" t="s">
        <v>31</v>
      </c>
      <c r="R13" s="20" t="s">
        <v>36</v>
      </c>
      <c r="S13" s="5">
        <v>522.08093344594397</v>
      </c>
      <c r="T13" s="5">
        <v>608.99379510491599</v>
      </c>
      <c r="U13" s="3">
        <v>588.84913779418503</v>
      </c>
      <c r="V13" s="15">
        <f t="shared" si="0"/>
        <v>-20.144657310730963</v>
      </c>
      <c r="W13" s="16">
        <f t="shared" si="1"/>
        <v>-3.3078592052420648E-2</v>
      </c>
      <c r="X13" s="3">
        <v>588.80326007817098</v>
      </c>
      <c r="Y13" s="15">
        <f t="shared" si="2"/>
        <v>-20.19053502674501</v>
      </c>
      <c r="Z13" s="14">
        <f t="shared" si="3"/>
        <v>-3.3153925686987717E-2</v>
      </c>
      <c r="AB13" s="42"/>
      <c r="AC13" s="23" t="s">
        <v>24</v>
      </c>
      <c r="AD13" s="66">
        <v>0.1842</v>
      </c>
      <c r="AE13" s="67">
        <v>0.193409998368203</v>
      </c>
      <c r="AF13" s="23">
        <v>0.20308049652433199</v>
      </c>
      <c r="AG13" s="23">
        <v>0.19305714653352199</v>
      </c>
      <c r="AH13" s="68">
        <v>0.18340428940960599</v>
      </c>
      <c r="AI13" s="61">
        <f t="shared" si="9"/>
        <v>9.2099983682029929E-3</v>
      </c>
      <c r="AJ13" s="27">
        <f t="shared" si="4"/>
        <v>9.6704981561289982E-3</v>
      </c>
      <c r="AK13" s="27">
        <f t="shared" si="4"/>
        <v>-1.0023349990810004E-2</v>
      </c>
      <c r="AL13" s="62">
        <f t="shared" si="4"/>
        <v>-9.6528571239160033E-3</v>
      </c>
      <c r="AM13" s="52">
        <f t="shared" si="10"/>
        <v>4.9999991141167169E-2</v>
      </c>
      <c r="AN13" s="29">
        <f t="shared" si="5"/>
        <v>4.999999088836582E-2</v>
      </c>
      <c r="AO13" s="28">
        <f t="shared" si="5"/>
        <v>-4.9356536754424675E-2</v>
      </c>
      <c r="AP13" s="53">
        <f t="shared" si="5"/>
        <v>-4.9999998949740533E-2</v>
      </c>
    </row>
    <row r="14" spans="2:42" ht="14.5" customHeight="1" x14ac:dyDescent="0.35">
      <c r="B14" s="31" t="s">
        <v>32</v>
      </c>
      <c r="C14" s="4" t="s">
        <v>7</v>
      </c>
      <c r="D14" s="5">
        <v>522.08093344594397</v>
      </c>
      <c r="E14" s="5">
        <v>608.99379510491599</v>
      </c>
      <c r="G14" s="3">
        <v>522.08113216808295</v>
      </c>
      <c r="H14" s="3">
        <v>588.84913779418503</v>
      </c>
      <c r="I14" s="15">
        <f>H14-E14</f>
        <v>-20.144657310730963</v>
      </c>
      <c r="J14" s="16">
        <f>I14/E14</f>
        <v>-3.3078592052420648E-2</v>
      </c>
      <c r="K14" s="12"/>
      <c r="L14" s="3">
        <v>522.08079988348595</v>
      </c>
      <c r="M14" s="3">
        <v>588.80326007817098</v>
      </c>
      <c r="N14" s="15">
        <f>M14-E14</f>
        <v>-20.19053502674501</v>
      </c>
      <c r="O14" s="14">
        <f>N14/E14</f>
        <v>-3.3153925686987717E-2</v>
      </c>
      <c r="Q14" s="35"/>
      <c r="R14" s="20" t="s">
        <v>39</v>
      </c>
      <c r="S14" s="5">
        <v>0.92414368538749303</v>
      </c>
      <c r="T14" s="5">
        <v>1.0946367702961699</v>
      </c>
      <c r="U14" s="3">
        <v>0.93414754186889504</v>
      </c>
      <c r="V14" s="15">
        <f t="shared" si="0"/>
        <v>-0.16048922842727487</v>
      </c>
      <c r="W14" s="16">
        <f t="shared" si="1"/>
        <v>-0.1466141397605821</v>
      </c>
      <c r="X14" s="3">
        <v>0.87738865266777799</v>
      </c>
      <c r="Y14" s="15">
        <f t="shared" si="2"/>
        <v>-0.21724811762839191</v>
      </c>
      <c r="Z14" s="14">
        <f t="shared" si="3"/>
        <v>-0.19846594187550659</v>
      </c>
      <c r="AB14" s="42"/>
      <c r="AC14" s="23" t="s">
        <v>25</v>
      </c>
      <c r="AD14" s="66">
        <v>1.2699999999999999E-2</v>
      </c>
      <c r="AE14" s="67">
        <v>1.2065000058644301E-2</v>
      </c>
      <c r="AF14" s="23">
        <v>1.1461750130360999E-2</v>
      </c>
      <c r="AG14" s="23">
        <v>1.2034837612688001E-2</v>
      </c>
      <c r="AH14" s="68">
        <v>1.2636579460337201E-2</v>
      </c>
      <c r="AI14" s="61">
        <f t="shared" si="9"/>
        <v>-6.3499994135569893E-4</v>
      </c>
      <c r="AJ14" s="27">
        <f t="shared" si="4"/>
        <v>-6.0324992828330107E-4</v>
      </c>
      <c r="AK14" s="27">
        <f t="shared" si="4"/>
        <v>5.7308748232700116E-4</v>
      </c>
      <c r="AL14" s="62">
        <f t="shared" si="4"/>
        <v>6.0174184764920022E-4</v>
      </c>
      <c r="AM14" s="50">
        <f t="shared" si="10"/>
        <v>-4.99999953823385E-2</v>
      </c>
      <c r="AN14" s="28">
        <f t="shared" si="5"/>
        <v>-4.9999993812771357E-2</v>
      </c>
      <c r="AO14" s="29">
        <f t="shared" si="5"/>
        <v>4.9999997889410557E-2</v>
      </c>
      <c r="AP14" s="51">
        <f t="shared" si="5"/>
        <v>4.9999997259190285E-2</v>
      </c>
    </row>
    <row r="15" spans="2:42" ht="14.5" customHeight="1" thickBot="1" x14ac:dyDescent="0.4">
      <c r="B15" s="31"/>
      <c r="C15" s="4" t="s">
        <v>8</v>
      </c>
      <c r="D15" s="5">
        <v>0.92414368538749303</v>
      </c>
      <c r="E15" s="5">
        <v>1.0946367702961699</v>
      </c>
      <c r="G15" s="3">
        <v>0.919549526398037</v>
      </c>
      <c r="H15" s="3">
        <v>0.93414754186889504</v>
      </c>
      <c r="I15" s="15">
        <f t="shared" ref="I15:I16" si="14">H15-E15</f>
        <v>-0.16048922842727487</v>
      </c>
      <c r="J15" s="16">
        <f t="shared" ref="J15:J16" si="15">I15/E15</f>
        <v>-0.1466141397605821</v>
      </c>
      <c r="K15" s="12"/>
      <c r="L15" s="3">
        <v>0.90801817463602197</v>
      </c>
      <c r="M15" s="3">
        <v>0.87738865266777799</v>
      </c>
      <c r="N15" s="15">
        <f>M15-E15</f>
        <v>-0.21724811762839191</v>
      </c>
      <c r="O15" s="14">
        <f t="shared" ref="O15:O16" si="16">N15/E15</f>
        <v>-0.19846594187550659</v>
      </c>
      <c r="Q15" s="36"/>
      <c r="R15" s="20" t="s">
        <v>37</v>
      </c>
      <c r="S15" s="5">
        <v>0.99129999999999996</v>
      </c>
      <c r="T15" s="5">
        <v>1.88221052848274</v>
      </c>
      <c r="U15" s="3">
        <v>1.6426014865415299</v>
      </c>
      <c r="V15" s="15">
        <f t="shared" si="0"/>
        <v>-0.23960904194121002</v>
      </c>
      <c r="W15" s="16">
        <f t="shared" si="1"/>
        <v>-0.12730193478110027</v>
      </c>
      <c r="X15" s="3">
        <v>1.64208393854519</v>
      </c>
      <c r="Y15" s="15">
        <f t="shared" si="2"/>
        <v>-0.24012658993754998</v>
      </c>
      <c r="Z15" s="14">
        <f t="shared" si="3"/>
        <v>-0.12757690295735266</v>
      </c>
      <c r="AB15" s="43"/>
      <c r="AC15" s="23" t="s">
        <v>26</v>
      </c>
      <c r="AD15" s="66">
        <v>0.31419999999999998</v>
      </c>
      <c r="AE15" s="69">
        <v>0.30301999396227702</v>
      </c>
      <c r="AF15" s="70">
        <v>0.29012548638707197</v>
      </c>
      <c r="AG15" s="70">
        <v>0.30463176053379998</v>
      </c>
      <c r="AH15" s="71">
        <v>0.31750055679400002</v>
      </c>
      <c r="AI15" s="63">
        <f t="shared" si="9"/>
        <v>-1.1180006037722956E-2</v>
      </c>
      <c r="AJ15" s="64">
        <f t="shared" si="4"/>
        <v>-1.289450757520505E-2</v>
      </c>
      <c r="AK15" s="64">
        <f t="shared" si="4"/>
        <v>1.4506274146728004E-2</v>
      </c>
      <c r="AL15" s="65">
        <f t="shared" si="4"/>
        <v>1.2868796260200044E-2</v>
      </c>
      <c r="AM15" s="54">
        <f t="shared" si="10"/>
        <v>-3.5582450788424431E-2</v>
      </c>
      <c r="AN15" s="55">
        <f t="shared" si="5"/>
        <v>-4.2553322659000144E-2</v>
      </c>
      <c r="AO15" s="56">
        <f t="shared" si="5"/>
        <v>4.9999999404996796E-2</v>
      </c>
      <c r="AP15" s="57">
        <f t="shared" si="5"/>
        <v>4.2243777331852451E-2</v>
      </c>
    </row>
    <row r="16" spans="2:42" x14ac:dyDescent="0.35">
      <c r="B16" s="31"/>
      <c r="C16" s="4" t="s">
        <v>4</v>
      </c>
      <c r="D16" s="5">
        <v>0.99129999999999996</v>
      </c>
      <c r="E16" s="5">
        <v>1.88221052848274</v>
      </c>
      <c r="G16" s="3">
        <v>0.99126853664784398</v>
      </c>
      <c r="H16" s="3">
        <v>1.6426014865415299</v>
      </c>
      <c r="I16" s="15">
        <f t="shared" si="14"/>
        <v>-0.23960904194121002</v>
      </c>
      <c r="J16" s="16">
        <f t="shared" si="15"/>
        <v>-0.12730193478110027</v>
      </c>
      <c r="K16" s="12"/>
      <c r="L16" s="3">
        <v>0.99126607986679305</v>
      </c>
      <c r="M16" s="3">
        <v>1.64208393854519</v>
      </c>
      <c r="N16" s="15">
        <f>M16-E16</f>
        <v>-0.24012658993754998</v>
      </c>
      <c r="O16" s="14">
        <f t="shared" si="16"/>
        <v>-0.12757690295735266</v>
      </c>
    </row>
    <row r="18" spans="2:15" x14ac:dyDescent="0.35">
      <c r="B18" s="7" t="s">
        <v>5</v>
      </c>
      <c r="C18" s="7" t="s">
        <v>9</v>
      </c>
      <c r="D18" s="7" t="s">
        <v>10</v>
      </c>
      <c r="E18" s="7" t="s">
        <v>11</v>
      </c>
      <c r="G18" s="7" t="s">
        <v>10</v>
      </c>
      <c r="H18" s="7" t="s">
        <v>11</v>
      </c>
      <c r="I18" s="7" t="s">
        <v>3</v>
      </c>
      <c r="J18" s="7" t="s">
        <v>29</v>
      </c>
      <c r="K18" s="11"/>
      <c r="L18" s="7" t="s">
        <v>10</v>
      </c>
      <c r="M18" s="7" t="s">
        <v>11</v>
      </c>
      <c r="N18" s="7" t="s">
        <v>3</v>
      </c>
      <c r="O18" s="7" t="s">
        <v>29</v>
      </c>
    </row>
    <row r="19" spans="2:15" ht="14.5" customHeight="1" x14ac:dyDescent="0.35">
      <c r="B19" s="34" t="s">
        <v>31</v>
      </c>
      <c r="C19" s="4" t="s">
        <v>7</v>
      </c>
      <c r="D19" s="5">
        <v>522.08093344594397</v>
      </c>
      <c r="E19" s="5">
        <v>608.99379510491599</v>
      </c>
      <c r="G19" s="3">
        <v>522.08113216808295</v>
      </c>
      <c r="H19" s="3">
        <v>588.84913779418503</v>
      </c>
      <c r="I19" s="15">
        <f>H19-E19</f>
        <v>-20.144657310730963</v>
      </c>
      <c r="J19" s="16">
        <f>I19/E19</f>
        <v>-3.3078592052420648E-2</v>
      </c>
      <c r="K19" s="12"/>
      <c r="L19" s="3">
        <v>522.08079988348595</v>
      </c>
      <c r="M19" s="3">
        <v>588.80326007817098</v>
      </c>
      <c r="N19" s="15">
        <f>M19-E19</f>
        <v>-20.19053502674501</v>
      </c>
      <c r="O19" s="14">
        <f>N19/E19</f>
        <v>-3.3153925686987717E-2</v>
      </c>
    </row>
    <row r="20" spans="2:15" ht="14.5" customHeight="1" x14ac:dyDescent="0.35">
      <c r="B20" s="35"/>
      <c r="C20" s="4" t="s">
        <v>8</v>
      </c>
      <c r="D20" s="5">
        <v>0.92414368538749303</v>
      </c>
      <c r="E20" s="5">
        <v>1.0946367702961699</v>
      </c>
      <c r="G20" s="3">
        <v>0.919549526398037</v>
      </c>
      <c r="H20" s="3">
        <v>0.93414754186889504</v>
      </c>
      <c r="I20" s="15">
        <f t="shared" ref="I20:I21" si="17">H20-E20</f>
        <v>-0.16048922842727487</v>
      </c>
      <c r="J20" s="16">
        <f t="shared" ref="J20:J21" si="18">I20/E20</f>
        <v>-0.1466141397605821</v>
      </c>
      <c r="K20" s="12"/>
      <c r="L20" s="3">
        <v>0.90801817463602197</v>
      </c>
      <c r="M20" s="3">
        <v>0.87738865266777799</v>
      </c>
      <c r="N20" s="15">
        <f>M20-E20</f>
        <v>-0.21724811762839191</v>
      </c>
      <c r="O20" s="14">
        <f t="shared" ref="O20:O21" si="19">N20/E20</f>
        <v>-0.19846594187550659</v>
      </c>
    </row>
    <row r="21" spans="2:15" x14ac:dyDescent="0.35">
      <c r="B21" s="36"/>
      <c r="C21" s="4" t="s">
        <v>4</v>
      </c>
      <c r="D21" s="5">
        <v>0.99129999999999996</v>
      </c>
      <c r="E21" s="5">
        <v>1.88221052848274</v>
      </c>
      <c r="G21" s="3">
        <v>0.99126853664784398</v>
      </c>
      <c r="H21" s="3">
        <v>1.6426014865415299</v>
      </c>
      <c r="I21" s="15">
        <f t="shared" si="17"/>
        <v>-0.23960904194121002</v>
      </c>
      <c r="J21" s="16">
        <f t="shared" si="18"/>
        <v>-0.12730193478110027</v>
      </c>
      <c r="K21" s="12"/>
      <c r="L21" s="3">
        <v>0.99126607986679305</v>
      </c>
      <c r="M21" s="3">
        <v>1.64208393854519</v>
      </c>
      <c r="N21" s="15">
        <f>M21-E21</f>
        <v>-0.24012658993754998</v>
      </c>
      <c r="O21" s="14">
        <f t="shared" si="19"/>
        <v>-0.12757690295735266</v>
      </c>
    </row>
    <row r="26" spans="2:15" x14ac:dyDescent="0.35">
      <c r="K26">
        <v>0.36489500061045399</v>
      </c>
      <c r="L26">
        <v>0.34665025135338801</v>
      </c>
      <c r="M26">
        <v>0.363982763891254</v>
      </c>
      <c r="N26">
        <v>0.38218190204816399</v>
      </c>
    </row>
    <row r="27" spans="2:15" x14ac:dyDescent="0.35">
      <c r="K27">
        <v>0.25123162755324102</v>
      </c>
      <c r="L27">
        <v>0.255739456289166</v>
      </c>
      <c r="M27">
        <v>0.24295248983544199</v>
      </c>
      <c r="N27">
        <v>0.230804877485526</v>
      </c>
    </row>
    <row r="28" spans="2:15" x14ac:dyDescent="0.35">
      <c r="K28">
        <v>0.31268999692211302</v>
      </c>
      <c r="L28">
        <v>0.32832449243109202</v>
      </c>
      <c r="M28">
        <v>0.32031465635109202</v>
      </c>
      <c r="N28">
        <v>0.31062562604857202</v>
      </c>
    </row>
    <row r="29" spans="2:15" x14ac:dyDescent="0.35">
      <c r="K29">
        <v>7.1183374914191799E-2</v>
      </c>
      <c r="L29">
        <v>6.9285799926353794E-2</v>
      </c>
      <c r="M29">
        <v>7.2750089922212796E-2</v>
      </c>
      <c r="N29">
        <v>7.6387594417737695E-2</v>
      </c>
    </row>
    <row r="30" spans="2:15" x14ac:dyDescent="0.35">
      <c r="K30">
        <v>6.7830000045272898E-2</v>
      </c>
      <c r="L30">
        <v>6.4438500100642504E-2</v>
      </c>
      <c r="M30">
        <v>6.7660425097869001E-2</v>
      </c>
      <c r="N30">
        <v>7.1043446343104596E-2</v>
      </c>
    </row>
    <row r="31" spans="2:15" x14ac:dyDescent="0.35">
      <c r="K31">
        <v>0.91696999989461403</v>
      </c>
      <c r="L31">
        <v>0.921121499765715</v>
      </c>
      <c r="M31">
        <v>0.91717757476588901</v>
      </c>
      <c r="N31">
        <v>0.91303645351898999</v>
      </c>
    </row>
    <row r="32" spans="2:15" x14ac:dyDescent="0.35">
      <c r="K32">
        <v>1.52000000601136E-2</v>
      </c>
      <c r="L32">
        <v>1.44400001336429E-2</v>
      </c>
      <c r="M32">
        <v>1.51620001362419E-2</v>
      </c>
      <c r="N32">
        <v>1.5920100137905201E-2</v>
      </c>
    </row>
    <row r="33" spans="5:14" x14ac:dyDescent="0.35">
      <c r="K33">
        <v>0.28402499990569402</v>
      </c>
      <c r="L33">
        <v>0.29822624980297402</v>
      </c>
      <c r="M33">
        <v>0.28331493733167101</v>
      </c>
      <c r="N33">
        <v>0.26914919048511199</v>
      </c>
    </row>
    <row r="34" spans="5:14" x14ac:dyDescent="0.35">
      <c r="K34">
        <v>0.20748000770518099</v>
      </c>
      <c r="L34">
        <v>0.19710601715526099</v>
      </c>
      <c r="M34">
        <v>0.20696131798831899</v>
      </c>
      <c r="N34">
        <v>0.217309383850945</v>
      </c>
    </row>
    <row r="35" spans="5:14" x14ac:dyDescent="0.35">
      <c r="K35">
        <v>0.193409998368203</v>
      </c>
      <c r="L35">
        <v>0.20308049652433199</v>
      </c>
      <c r="M35">
        <v>0.19305714653352199</v>
      </c>
      <c r="N35">
        <v>0.18340428940960599</v>
      </c>
    </row>
    <row r="36" spans="5:14" x14ac:dyDescent="0.35">
      <c r="K36">
        <v>1.2065000058644301E-2</v>
      </c>
      <c r="L36">
        <v>1.1461750130360999E-2</v>
      </c>
      <c r="M36">
        <v>1.2034837612688001E-2</v>
      </c>
      <c r="N36">
        <v>1.2636579460337201E-2</v>
      </c>
    </row>
    <row r="37" spans="5:14" x14ac:dyDescent="0.35">
      <c r="K37">
        <v>0.30301999396227702</v>
      </c>
      <c r="L37">
        <v>0.29012548638707197</v>
      </c>
      <c r="M37">
        <v>0.30463176053379998</v>
      </c>
      <c r="N37">
        <v>0.31750055679400002</v>
      </c>
    </row>
    <row r="39" spans="5:14" x14ac:dyDescent="0.35">
      <c r="E39" s="1"/>
      <c r="F39" s="1"/>
      <c r="G39" s="1"/>
      <c r="H39" s="1"/>
      <c r="I39" s="1"/>
      <c r="J39" s="1"/>
      <c r="K39" s="1"/>
      <c r="L39" s="2"/>
    </row>
    <row r="40" spans="5:14" x14ac:dyDescent="0.35">
      <c r="E40" s="1"/>
      <c r="F40" s="1"/>
      <c r="G40" s="1"/>
      <c r="H40" s="1"/>
      <c r="I40" s="1"/>
      <c r="J40" s="1"/>
      <c r="K40" s="1"/>
      <c r="L40" s="2"/>
    </row>
    <row r="41" spans="5:14" x14ac:dyDescent="0.35">
      <c r="E41" s="1"/>
      <c r="F41" s="1"/>
      <c r="G41" s="1"/>
      <c r="H41" s="1"/>
      <c r="I41" s="1"/>
      <c r="J41" s="1"/>
      <c r="K41" s="1"/>
      <c r="L41" s="2"/>
    </row>
  </sheetData>
  <mergeCells count="19">
    <mergeCell ref="AM2:AP2"/>
    <mergeCell ref="B9:B11"/>
    <mergeCell ref="Q13:Q15"/>
    <mergeCell ref="B14:B16"/>
    <mergeCell ref="B19:B21"/>
    <mergeCell ref="G2:J2"/>
    <mergeCell ref="L2:O2"/>
    <mergeCell ref="B4:B6"/>
    <mergeCell ref="Q4:Q6"/>
    <mergeCell ref="S2:T2"/>
    <mergeCell ref="U2:W2"/>
    <mergeCell ref="X2:Z2"/>
    <mergeCell ref="Q7:Q9"/>
    <mergeCell ref="Q10:Q12"/>
    <mergeCell ref="AB11:AB15"/>
    <mergeCell ref="AB4:AB7"/>
    <mergeCell ref="AB8:AB10"/>
    <mergeCell ref="AE2:AH2"/>
    <mergeCell ref="AI2:AL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Opt Monoperiodo</vt:lpstr>
      <vt:lpstr>Opt Multiperiodo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Sinue Tovar</dc:creator>
  <cp:lastModifiedBy>Sinue Tovar</cp:lastModifiedBy>
  <dcterms:created xsi:type="dcterms:W3CDTF">2025-12-09T09:45:44Z</dcterms:created>
  <dcterms:modified xsi:type="dcterms:W3CDTF">2025-12-17T00:09:22Z</dcterms:modified>
</cp:coreProperties>
</file>